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ota Semanal\2026\Nota 19\cuadros\"/>
    </mc:Choice>
  </mc:AlternateContent>
  <xr:revisionPtr revIDLastSave="0" documentId="13_ncr:1_{DAFEEFDD-2134-4260-8636-99F3B5126850}" xr6:coauthVersionLast="47" xr6:coauthVersionMax="47" xr10:uidLastSave="{00000000-0000-0000-0000-000000000000}"/>
  <bookViews>
    <workbookView xWindow="28680" yWindow="-120" windowWidth="29040" windowHeight="15720" xr2:uid="{CCEE7149-BFE8-42C3-8891-B4DE0F160348}"/>
  </bookViews>
  <sheets>
    <sheet name="Cuadro 113" sheetId="1" r:id="rId1"/>
  </sheets>
  <externalReferences>
    <externalReference r:id="rId2"/>
  </externalReferences>
  <definedNames>
    <definedName name="__123Graph_A" hidden="1">#REF!</definedName>
    <definedName name="__123Graph_AGRAF" hidden="1">#REF!</definedName>
    <definedName name="__123Graph_B" hidden="1">#REF!</definedName>
    <definedName name="__123Graph_BGRAF" hidden="1">#REF!</definedName>
    <definedName name="__123Graph_C" hidden="1">#REF!</definedName>
    <definedName name="__123Graph_CGRAF" hidden="1">#REF!</definedName>
    <definedName name="__123Graph_D" hidden="1">#REF!</definedName>
    <definedName name="__123Graph_DGRAF" hidden="1">#REF!</definedName>
    <definedName name="__123Graph_E" hidden="1">#REF!</definedName>
    <definedName name="__123Graph_EGRAF" hidden="1">#REF!</definedName>
    <definedName name="__123Graph_F" hidden="1">#REF!</definedName>
    <definedName name="__123Graph_FGRAF" hidden="1">#REF!</definedName>
    <definedName name="__123Graph_X" hidden="1">#REF!</definedName>
    <definedName name="__123Graph_XGRAF" hidden="1">#REF!</definedName>
    <definedName name="_Key1" hidden="1">[1]INGUTI!$A$18:$A$30</definedName>
    <definedName name="_Order1" hidden="1">255</definedName>
    <definedName name="_Sort" hidden="1">[1]INGUTI!$A$18:$M$30</definedName>
    <definedName name="_xlnm.Print_Area" localSheetId="0">'Cuadro 113'!$B$2:$CZ$32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HTML_CodePage" hidden="1">1252</definedName>
    <definedName name="HTML_Control" hidden="1">{"'C-46.WK1'!$A$6:$J$21"}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"F:\WEB\JULIO\c46.htm"</definedName>
    <definedName name="HTML_Title" hidden="1">""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<sst xmlns="http://schemas.openxmlformats.org/spreadsheetml/2006/main" count="138" uniqueCount="41">
  <si>
    <t>CUADRO 113   OPERACIONES DEL SECTOR PÚBLICO NO FINANCIERO (Millones de soles) 1/</t>
  </si>
  <si>
    <t xml:space="preserve">                           OPERATIONS OF THE NON FINANCIAL PUBLIC SECTOR (Millions of soles)</t>
  </si>
  <si>
    <t>I</t>
  </si>
  <si>
    <t>II</t>
  </si>
  <si>
    <t>III</t>
  </si>
  <si>
    <t>IV</t>
  </si>
  <si>
    <t>AÑO</t>
  </si>
  <si>
    <t>1. Ingresos corrientes del gobierno general</t>
  </si>
  <si>
    <t>1. Current revenues of the General Government</t>
  </si>
  <si>
    <t>a. Ingresos tributarios</t>
  </si>
  <si>
    <t>a. Tax revenue</t>
  </si>
  <si>
    <t>b. Ingresos no tributarios</t>
  </si>
  <si>
    <t>b. Non-tax revenue</t>
  </si>
  <si>
    <t>2. Gastos no financieros del gobierno general</t>
  </si>
  <si>
    <t>2. Non-financial expenditures of the General Government</t>
  </si>
  <si>
    <t>a. Corriente</t>
  </si>
  <si>
    <t>a. Current</t>
  </si>
  <si>
    <t>b. Capital</t>
  </si>
  <si>
    <t xml:space="preserve">           Formación Bruta de Capital</t>
  </si>
  <si>
    <t xml:space="preserve">           Gross capital formation</t>
  </si>
  <si>
    <t xml:space="preserve">                   Gobierno Nacional</t>
  </si>
  <si>
    <t xml:space="preserve">                  National Government</t>
  </si>
  <si>
    <t xml:space="preserve">                   Gobiernos Regionales</t>
  </si>
  <si>
    <t xml:space="preserve">                  Regional Government</t>
  </si>
  <si>
    <t xml:space="preserve">                   Gobiernos Locales</t>
  </si>
  <si>
    <t xml:space="preserve">                  Local Government</t>
  </si>
  <si>
    <t xml:space="preserve">           Otros gastos de capital</t>
  </si>
  <si>
    <t xml:space="preserve">           Others capital expenditure</t>
  </si>
  <si>
    <t>3. Otros   2/</t>
  </si>
  <si>
    <t>3. Others   2/</t>
  </si>
  <si>
    <t>4. Resultado Primario (=1-2+3)</t>
  </si>
  <si>
    <t>4. Primary Balance (=1-2+3)</t>
  </si>
  <si>
    <t>5. Intereses</t>
  </si>
  <si>
    <t>5. Interest payments</t>
  </si>
  <si>
    <t>6. Resultado Económico (=4-5)</t>
  </si>
  <si>
    <t>6. Overall balance (=4-5)</t>
  </si>
  <si>
    <t xml:space="preserve">1/ Preliminar. Información actualizada con datos al 8 de mayo de 2026 en la Nota Semanal N° 19 (21 de mayo de 2026). </t>
  </si>
  <si>
    <t>2/ Incluye ingresos de capital del Gobierno General y resultado primario de empresas estatales.</t>
  </si>
  <si>
    <t xml:space="preserve"> </t>
  </si>
  <si>
    <t xml:space="preserve"> Fuente: MEF, BN, Sunat, EsSalud, sociedades de beneficencia pública y empresas estatales.</t>
  </si>
  <si>
    <t xml:space="preserve"> Elaboración: Gerencia de Política Económica - Subgerencia de Estudios Fiscales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</si>
</sst>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000"/>
  </numFmts>
  <fonts count="10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8"/>
      <color indexed="12"/>
      <name val="Times New Roman"/>
      <family val="1"/>
    </font>
    <font>
      <b/>
      <sz val="11"/>
      <name val="Arial"/>
      <family val="2"/>
    </font>
    <font>
      <b/>
      <i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i/>
      <sz val="11"/>
      <name val="Arial"/>
      <family val="2"/>
    </font>
    <font>
      <sz val="11"/>
      <name val="Calibri"/>
      <family val="2"/>
      <scheme val="minor"/>
    </font>
    <font>
      <sz val="5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0" fontId="2" fillId="0" borderId="0" applyNumberFormat="0" applyFont="0" applyFill="0" applyBorder="0" applyAlignment="0" applyProtection="0">
      <alignment vertical="top"/>
      <protection locked="0"/>
    </xf>
    <xf numFmtId="0" fontId="1" fillId="0" borderId="0"/>
    <xf numFmtId="0" fontId="6" fillId="0" borderId="0"/>
  </cellStyleXfs>
  <cellXfs count="78">
    <xf numFmtId="0" fontId="0" fillId="0" borderId="0" xfId="0"/>
    <xf numFmtId="3" fontId="3" fillId="0" borderId="0" xfId="1" applyNumberFormat="1" applyFont="1" applyFill="1" applyBorder="1" applyAlignment="1" applyProtection="1">
      <alignment horizontal="left"/>
    </xf>
    <xf numFmtId="3" fontId="3" fillId="0" borderId="0" xfId="2" applyNumberFormat="1" applyFont="1" applyFill="1" applyAlignment="1">
      <alignment horizontal="centerContinuous"/>
    </xf>
    <xf numFmtId="3" fontId="4" fillId="0" borderId="0" xfId="1" applyNumberFormat="1" applyFont="1" applyFill="1" applyBorder="1" applyAlignment="1" applyProtection="1">
      <alignment horizontal="left"/>
    </xf>
    <xf numFmtId="3" fontId="5" fillId="0" borderId="0" xfId="2" applyNumberFormat="1" applyFont="1" applyFill="1" applyAlignment="1">
      <alignment horizontal="centerContinuous"/>
    </xf>
    <xf numFmtId="3" fontId="3" fillId="0" borderId="1" xfId="2" applyNumberFormat="1" applyFont="1" applyFill="1" applyBorder="1" applyAlignment="1">
      <alignment horizontal="center" vertical="center"/>
    </xf>
    <xf numFmtId="3" fontId="3" fillId="0" borderId="6" xfId="2" applyNumberFormat="1" applyFont="1" applyFill="1" applyBorder="1" applyAlignment="1">
      <alignment horizontal="center" vertical="center"/>
    </xf>
    <xf numFmtId="3" fontId="3" fillId="0" borderId="10" xfId="2" applyNumberFormat="1" applyFont="1" applyFill="1" applyBorder="1" applyAlignment="1">
      <alignment vertical="center"/>
    </xf>
    <xf numFmtId="3" fontId="3" fillId="0" borderId="10" xfId="1" applyNumberFormat="1" applyFont="1" applyFill="1" applyBorder="1" applyAlignment="1" applyProtection="1"/>
    <xf numFmtId="3" fontId="3" fillId="0" borderId="10" xfId="3" applyNumberFormat="1" applyFont="1" applyFill="1" applyBorder="1"/>
    <xf numFmtId="3" fontId="5" fillId="0" borderId="10" xfId="1" applyNumberFormat="1" applyFont="1" applyFill="1" applyBorder="1" applyAlignment="1" applyProtection="1">
      <alignment horizontal="left" indent="2"/>
    </xf>
    <xf numFmtId="3" fontId="5" fillId="0" borderId="10" xfId="3" applyNumberFormat="1" applyFont="1" applyFill="1" applyBorder="1" applyAlignment="1">
      <alignment horizontal="left" indent="2"/>
    </xf>
    <xf numFmtId="3" fontId="7" fillId="0" borderId="10" xfId="3" applyNumberFormat="1" applyFont="1" applyFill="1" applyBorder="1" applyAlignment="1">
      <alignment horizontal="left" indent="2"/>
    </xf>
    <xf numFmtId="3" fontId="7" fillId="0" borderId="10" xfId="1" applyNumberFormat="1" applyFont="1" applyFill="1" applyBorder="1" applyAlignment="1" applyProtection="1">
      <alignment horizontal="left"/>
    </xf>
    <xf numFmtId="3" fontId="7" fillId="0" borderId="10" xfId="3" applyNumberFormat="1" applyFont="1" applyFill="1" applyBorder="1" applyAlignment="1">
      <alignment horizontal="left"/>
    </xf>
    <xf numFmtId="0" fontId="7" fillId="0" borderId="10" xfId="1" applyFont="1" applyFill="1" applyBorder="1" applyAlignment="1" applyProtection="1">
      <alignment horizontal="left"/>
    </xf>
    <xf numFmtId="0" fontId="7" fillId="0" borderId="10" xfId="3" applyFont="1" applyFill="1" applyBorder="1" applyAlignment="1">
      <alignment horizontal="left"/>
    </xf>
    <xf numFmtId="3" fontId="7" fillId="0" borderId="10" xfId="3" applyNumberFormat="1" applyFont="1" applyFill="1" applyBorder="1" applyAlignment="1">
      <alignment horizontal="left" indent="3"/>
    </xf>
    <xf numFmtId="3" fontId="5" fillId="0" borderId="10" xfId="3" applyNumberFormat="1" applyFont="1" applyFill="1" applyBorder="1"/>
    <xf numFmtId="3" fontId="7" fillId="0" borderId="10" xfId="3" applyNumberFormat="1" applyFont="1" applyFill="1" applyBorder="1" applyAlignment="1">
      <alignment horizontal="left" indent="6"/>
    </xf>
    <xf numFmtId="3" fontId="3" fillId="0" borderId="6" xfId="3" applyNumberFormat="1" applyFont="1" applyFill="1" applyBorder="1"/>
    <xf numFmtId="0" fontId="5" fillId="0" borderId="0" xfId="3" applyFont="1" applyFill="1"/>
    <xf numFmtId="3" fontId="5" fillId="0" borderId="0" xfId="0" applyNumberFormat="1" applyFont="1" applyFill="1"/>
    <xf numFmtId="3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Continuous"/>
    </xf>
    <xf numFmtId="17" fontId="3" fillId="0" borderId="0" xfId="0" applyNumberFormat="1" applyFont="1" applyFill="1" applyAlignment="1">
      <alignment horizontal="right"/>
    </xf>
    <xf numFmtId="3" fontId="3" fillId="0" borderId="0" xfId="0" applyNumberFormat="1" applyFont="1" applyFill="1" applyAlignment="1">
      <alignment vertical="center"/>
    </xf>
    <xf numFmtId="0" fontId="8" fillId="0" borderId="0" xfId="0" applyFont="1" applyFill="1"/>
    <xf numFmtId="3" fontId="3" fillId="0" borderId="0" xfId="3" applyNumberFormat="1" applyFont="1" applyFill="1"/>
    <xf numFmtId="3" fontId="5" fillId="0" borderId="0" xfId="3" applyNumberFormat="1" applyFont="1" applyFill="1" applyAlignment="1">
      <alignment horizontal="left" indent="2"/>
    </xf>
    <xf numFmtId="3" fontId="7" fillId="0" borderId="0" xfId="3" applyNumberFormat="1" applyFont="1" applyFill="1" applyAlignment="1">
      <alignment horizontal="left" indent="2"/>
    </xf>
    <xf numFmtId="3" fontId="7" fillId="0" borderId="0" xfId="3" applyNumberFormat="1" applyFont="1" applyFill="1" applyAlignment="1">
      <alignment horizontal="left" indent="6"/>
    </xf>
    <xf numFmtId="0" fontId="7" fillId="0" borderId="0" xfId="3" applyFont="1" applyFill="1" applyAlignment="1">
      <alignment horizontal="left" indent="9"/>
    </xf>
    <xf numFmtId="3" fontId="7" fillId="0" borderId="0" xfId="3" applyNumberFormat="1" applyFont="1" applyFill="1" applyAlignment="1">
      <alignment horizontal="left" indent="3"/>
    </xf>
    <xf numFmtId="3" fontId="5" fillId="0" borderId="0" xfId="3" applyNumberFormat="1" applyFont="1" applyFill="1"/>
    <xf numFmtId="2" fontId="8" fillId="0" borderId="0" xfId="0" applyNumberFormat="1" applyFont="1" applyFill="1"/>
    <xf numFmtId="165" fontId="5" fillId="0" borderId="0" xfId="0" applyNumberFormat="1" applyFont="1" applyFill="1"/>
    <xf numFmtId="0" fontId="9" fillId="0" borderId="0" xfId="2" applyFont="1" applyFill="1"/>
    <xf numFmtId="0" fontId="5" fillId="0" borderId="0" xfId="2" applyFont="1" applyFill="1"/>
    <xf numFmtId="0" fontId="3" fillId="0" borderId="2" xfId="2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3" fillId="0" borderId="5" xfId="2" applyFont="1" applyFill="1" applyBorder="1" applyAlignment="1">
      <alignment horizontal="center" vertical="center"/>
    </xf>
    <xf numFmtId="0" fontId="5" fillId="0" borderId="1" xfId="2" applyFont="1" applyFill="1" applyBorder="1"/>
    <xf numFmtId="17" fontId="3" fillId="0" borderId="7" xfId="2" applyNumberFormat="1" applyFont="1" applyFill="1" applyBorder="1" applyAlignment="1">
      <alignment horizontal="center"/>
    </xf>
    <xf numFmtId="17" fontId="3" fillId="0" borderId="8" xfId="2" applyNumberFormat="1" applyFont="1" applyFill="1" applyBorder="1" applyAlignment="1">
      <alignment horizontal="center"/>
    </xf>
    <xf numFmtId="17" fontId="3" fillId="0" borderId="9" xfId="2" applyNumberFormat="1" applyFont="1" applyFill="1" applyBorder="1" applyAlignment="1">
      <alignment horizontal="center"/>
    </xf>
    <xf numFmtId="17" fontId="3" fillId="0" borderId="6" xfId="2" applyNumberFormat="1" applyFont="1" applyFill="1" applyBorder="1" applyAlignment="1">
      <alignment horizontal="center"/>
    </xf>
    <xf numFmtId="0" fontId="5" fillId="0" borderId="6" xfId="2" applyFont="1" applyFill="1" applyBorder="1"/>
    <xf numFmtId="0" fontId="5" fillId="0" borderId="11" xfId="2" applyFont="1" applyFill="1" applyBorder="1" applyAlignment="1">
      <alignment horizontal="right"/>
    </xf>
    <xf numFmtId="0" fontId="5" fillId="0" borderId="0" xfId="2" applyFont="1" applyFill="1" applyAlignment="1">
      <alignment horizontal="right"/>
    </xf>
    <xf numFmtId="0" fontId="5" fillId="0" borderId="12" xfId="2" applyFont="1" applyFill="1" applyBorder="1" applyAlignment="1">
      <alignment horizontal="right"/>
    </xf>
    <xf numFmtId="0" fontId="5" fillId="0" borderId="10" xfId="2" applyFont="1" applyFill="1" applyBorder="1" applyAlignment="1">
      <alignment horizontal="right"/>
    </xf>
    <xf numFmtId="0" fontId="5" fillId="0" borderId="10" xfId="2" applyFont="1" applyFill="1" applyBorder="1"/>
    <xf numFmtId="3" fontId="3" fillId="0" borderId="11" xfId="2" applyNumberFormat="1" applyFont="1" applyFill="1" applyBorder="1" applyAlignment="1">
      <alignment horizontal="right"/>
    </xf>
    <xf numFmtId="3" fontId="3" fillId="0" borderId="0" xfId="2" applyNumberFormat="1" applyFont="1" applyFill="1" applyAlignment="1">
      <alignment horizontal="right"/>
    </xf>
    <xf numFmtId="3" fontId="3" fillId="0" borderId="12" xfId="2" applyNumberFormat="1" applyFont="1" applyFill="1" applyBorder="1" applyAlignment="1">
      <alignment horizontal="right"/>
    </xf>
    <xf numFmtId="3" fontId="3" fillId="0" borderId="10" xfId="2" applyNumberFormat="1" applyFont="1" applyFill="1" applyBorder="1" applyAlignment="1">
      <alignment horizontal="right"/>
    </xf>
    <xf numFmtId="3" fontId="5" fillId="0" borderId="11" xfId="2" applyNumberFormat="1" applyFont="1" applyFill="1" applyBorder="1" applyAlignment="1">
      <alignment horizontal="right"/>
    </xf>
    <xf numFmtId="3" fontId="5" fillId="0" borderId="0" xfId="2" applyNumberFormat="1" applyFont="1" applyFill="1" applyAlignment="1">
      <alignment horizontal="right"/>
    </xf>
    <xf numFmtId="3" fontId="5" fillId="0" borderId="12" xfId="2" applyNumberFormat="1" applyFont="1" applyFill="1" applyBorder="1" applyAlignment="1">
      <alignment horizontal="right"/>
    </xf>
    <xf numFmtId="3" fontId="5" fillId="0" borderId="10" xfId="2" applyNumberFormat="1" applyFont="1" applyFill="1" applyBorder="1" applyAlignment="1">
      <alignment horizontal="right"/>
    </xf>
    <xf numFmtId="164" fontId="7" fillId="0" borderId="11" xfId="2" applyNumberFormat="1" applyFont="1" applyFill="1" applyBorder="1" applyAlignment="1">
      <alignment horizontal="right"/>
    </xf>
    <xf numFmtId="164" fontId="7" fillId="0" borderId="0" xfId="2" applyNumberFormat="1" applyFont="1" applyFill="1" applyAlignment="1">
      <alignment horizontal="right"/>
    </xf>
    <xf numFmtId="164" fontId="7" fillId="0" borderId="12" xfId="2" applyNumberFormat="1" applyFont="1" applyFill="1" applyBorder="1" applyAlignment="1">
      <alignment horizontal="right"/>
    </xf>
    <xf numFmtId="164" fontId="7" fillId="0" borderId="10" xfId="2" applyNumberFormat="1" applyFont="1" applyFill="1" applyBorder="1" applyAlignment="1">
      <alignment horizontal="right"/>
    </xf>
    <xf numFmtId="3" fontId="7" fillId="0" borderId="11" xfId="2" applyNumberFormat="1" applyFont="1" applyFill="1" applyBorder="1" applyAlignment="1">
      <alignment horizontal="right"/>
    </xf>
    <xf numFmtId="3" fontId="7" fillId="0" borderId="0" xfId="2" applyNumberFormat="1" applyFont="1" applyFill="1" applyAlignment="1">
      <alignment horizontal="right"/>
    </xf>
    <xf numFmtId="3" fontId="7" fillId="0" borderId="12" xfId="2" applyNumberFormat="1" applyFont="1" applyFill="1" applyBorder="1" applyAlignment="1">
      <alignment horizontal="right"/>
    </xf>
    <xf numFmtId="3" fontId="7" fillId="0" borderId="10" xfId="2" applyNumberFormat="1" applyFont="1" applyFill="1" applyBorder="1" applyAlignment="1">
      <alignment horizontal="right"/>
    </xf>
    <xf numFmtId="0" fontId="5" fillId="0" borderId="7" xfId="2" applyFont="1" applyFill="1" applyBorder="1" applyAlignment="1">
      <alignment horizontal="right"/>
    </xf>
    <xf numFmtId="0" fontId="5" fillId="0" borderId="8" xfId="2" applyFont="1" applyFill="1" applyBorder="1" applyAlignment="1">
      <alignment horizontal="right"/>
    </xf>
    <xf numFmtId="0" fontId="5" fillId="0" borderId="9" xfId="2" applyFont="1" applyFill="1" applyBorder="1" applyAlignment="1">
      <alignment horizontal="right"/>
    </xf>
    <xf numFmtId="0" fontId="5" fillId="0" borderId="6" xfId="2" applyFont="1" applyFill="1" applyBorder="1" applyAlignment="1">
      <alignment horizontal="right"/>
    </xf>
    <xf numFmtId="3" fontId="5" fillId="0" borderId="0" xfId="2" applyNumberFormat="1" applyFont="1" applyFill="1"/>
    <xf numFmtId="3" fontId="3" fillId="0" borderId="0" xfId="0" applyNumberFormat="1" applyFont="1" applyFill="1"/>
    <xf numFmtId="164" fontId="7" fillId="0" borderId="0" xfId="0" applyNumberFormat="1" applyFont="1" applyFill="1"/>
    <xf numFmtId="3" fontId="7" fillId="0" borderId="0" xfId="0" applyNumberFormat="1" applyFont="1" applyFill="1"/>
  </cellXfs>
  <cellStyles count="4">
    <cellStyle name="Cancel" xfId="3" xr:uid="{D75DA98E-2FC5-41A0-89C2-1318B5298C22}"/>
    <cellStyle name="Hipervínculo" xfId="1" builtinId="8"/>
    <cellStyle name="Normal" xfId="0" builtinId="0"/>
    <cellStyle name="Normal 6" xfId="2" xr:uid="{AEA7872F-A161-402A-8714-D1182D3A9E87}"/>
  </cellStyles>
  <dxfs count="2"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IBRO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UTI"/>
      <sheetName val="x Zonales"/>
      <sheetName val="ACUM HISTORICO"/>
      <sheetName val="RESUMEN"/>
      <sheetName val="FACTOR"/>
      <sheetName val="ACUM REEXP"/>
      <sheetName val="Seg"/>
      <sheetName val="Hoja1"/>
      <sheetName val="Hoja2"/>
      <sheetName val="Hoja3"/>
      <sheetName val="#REF"/>
      <sheetName val="LIBRO2"/>
      <sheetName val="Corp"/>
      <sheetName val="C-2.2.2"/>
      <sheetName val="coloc"/>
      <sheetName val="G2"/>
      <sheetName val="d3"/>
      <sheetName val="C-2_2_2"/>
      <sheetName val="x_Zonales"/>
      <sheetName val="ACUM_HISTORICO"/>
      <sheetName val="ACUM_REEXP"/>
      <sheetName val="C-2_2_21"/>
      <sheetName val="x_Zonales1"/>
      <sheetName val="ACUM_HISTORICO1"/>
      <sheetName val="ACUM_REEXP1"/>
    </sheetNames>
    <sheetDataSet>
      <sheetData sheetId="0">
        <row r="7">
          <cell r="A7" t="str">
            <v>ACEITES Y GRASAS 3/</v>
          </cell>
        </row>
        <row r="18">
          <cell r="A18" t="str">
            <v xml:space="preserve">  Crudo de Palmiste</v>
          </cell>
          <cell r="B18" t="str">
            <v>--</v>
          </cell>
          <cell r="C18">
            <v>524</v>
          </cell>
          <cell r="D18">
            <v>-100</v>
          </cell>
          <cell r="E18" t="str">
            <v>--</v>
          </cell>
          <cell r="F18">
            <v>27</v>
          </cell>
          <cell r="G18">
            <v>-100</v>
          </cell>
          <cell r="H18" t="str">
            <v>--</v>
          </cell>
          <cell r="I18">
            <v>822</v>
          </cell>
          <cell r="J18">
            <v>-100</v>
          </cell>
          <cell r="K18" t="str">
            <v>--</v>
          </cell>
          <cell r="L18">
            <v>65</v>
          </cell>
          <cell r="M18">
            <v>-100</v>
          </cell>
        </row>
        <row r="19">
          <cell r="A19" t="str">
            <v xml:space="preserve">  Crudo de Algodon</v>
          </cell>
          <cell r="B19">
            <v>10291</v>
          </cell>
          <cell r="C19">
            <v>15811</v>
          </cell>
          <cell r="D19">
            <v>-34.912402757573844</v>
          </cell>
          <cell r="E19">
            <v>1985</v>
          </cell>
          <cell r="F19">
            <v>7970</v>
          </cell>
          <cell r="G19">
            <v>-75.09410288582184</v>
          </cell>
          <cell r="H19">
            <v>9682</v>
          </cell>
          <cell r="I19">
            <v>11060</v>
          </cell>
          <cell r="J19">
            <v>-12.459312839059677</v>
          </cell>
          <cell r="K19">
            <v>2236</v>
          </cell>
          <cell r="L19">
            <v>1922</v>
          </cell>
          <cell r="M19">
            <v>16.33714880332986</v>
          </cell>
        </row>
        <row r="20">
          <cell r="A20" t="str">
            <v xml:space="preserve">  Crudo de Pescado</v>
          </cell>
          <cell r="B20">
            <v>123675</v>
          </cell>
          <cell r="C20">
            <v>82645</v>
          </cell>
          <cell r="D20">
            <v>49.646076592655341</v>
          </cell>
          <cell r="E20">
            <v>13649</v>
          </cell>
          <cell r="F20">
            <v>12258</v>
          </cell>
          <cell r="G20">
            <v>11.347691303638442</v>
          </cell>
          <cell r="H20">
            <v>97534</v>
          </cell>
          <cell r="I20">
            <v>75001</v>
          </cell>
          <cell r="J20">
            <v>30.043599418674425</v>
          </cell>
          <cell r="K20">
            <v>16114</v>
          </cell>
          <cell r="L20">
            <v>11698</v>
          </cell>
          <cell r="M20">
            <v>37.750042742349123</v>
          </cell>
        </row>
        <row r="21">
          <cell r="A21" t="str">
            <v xml:space="preserve">  Crudo de Soya</v>
          </cell>
          <cell r="B21">
            <v>49851</v>
          </cell>
          <cell r="C21">
            <v>51482</v>
          </cell>
          <cell r="D21">
            <v>-3.1680975875063133</v>
          </cell>
          <cell r="E21">
            <v>6357</v>
          </cell>
          <cell r="F21">
            <v>2955</v>
          </cell>
          <cell r="G21">
            <v>115.12690355329948</v>
          </cell>
          <cell r="H21">
            <v>51043</v>
          </cell>
          <cell r="I21">
            <v>40906</v>
          </cell>
          <cell r="J21">
            <v>24.781205691096652</v>
          </cell>
          <cell r="K21">
            <v>5421</v>
          </cell>
          <cell r="L21">
            <v>4185</v>
          </cell>
          <cell r="M21">
            <v>29.534050179211469</v>
          </cell>
        </row>
        <row r="22">
          <cell r="A22" t="str">
            <v xml:space="preserve">  Crudo de Girasol</v>
          </cell>
          <cell r="B22">
            <v>1046</v>
          </cell>
          <cell r="C22">
            <v>881</v>
          </cell>
          <cell r="D22">
            <v>18.728717366628821</v>
          </cell>
          <cell r="E22" t="str">
            <v>--</v>
          </cell>
          <cell r="F22" t="str">
            <v>--</v>
          </cell>
          <cell r="G22" t="str">
            <v>--</v>
          </cell>
          <cell r="H22">
            <v>2619</v>
          </cell>
          <cell r="I22">
            <v>1299</v>
          </cell>
          <cell r="J22">
            <v>101.61662817551962</v>
          </cell>
          <cell r="K22">
            <v>340</v>
          </cell>
          <cell r="L22" t="str">
            <v>--</v>
          </cell>
          <cell r="M22" t="str">
            <v>--</v>
          </cell>
        </row>
        <row r="23">
          <cell r="A23" t="str">
            <v xml:space="preserve">  Liq. Mod. Pescado</v>
          </cell>
          <cell r="B23">
            <v>13113</v>
          </cell>
          <cell r="C23">
            <v>12336</v>
          </cell>
          <cell r="D23">
            <v>6.2986381322957197</v>
          </cell>
          <cell r="E23">
            <v>1939</v>
          </cell>
          <cell r="F23">
            <v>1285</v>
          </cell>
          <cell r="G23">
            <v>50.894941634241242</v>
          </cell>
          <cell r="H23">
            <v>14139</v>
          </cell>
          <cell r="I23">
            <v>12744</v>
          </cell>
          <cell r="J23">
            <v>10.946327683615809</v>
          </cell>
          <cell r="K23">
            <v>1835</v>
          </cell>
          <cell r="L23">
            <v>1332</v>
          </cell>
          <cell r="M23">
            <v>37.762762762762762</v>
          </cell>
        </row>
        <row r="24">
          <cell r="A24" t="str">
            <v xml:space="preserve">  Refinado de Canola</v>
          </cell>
          <cell r="B24" t="str">
            <v>--</v>
          </cell>
          <cell r="C24">
            <v>244</v>
          </cell>
          <cell r="D24">
            <v>-100</v>
          </cell>
          <cell r="E24" t="str">
            <v>--</v>
          </cell>
          <cell r="F24">
            <v>59</v>
          </cell>
          <cell r="G24">
            <v>-100</v>
          </cell>
          <cell r="H24">
            <v>86</v>
          </cell>
          <cell r="I24">
            <v>265</v>
          </cell>
          <cell r="J24">
            <v>-67.547169811320757</v>
          </cell>
          <cell r="K24" t="str">
            <v>--</v>
          </cell>
          <cell r="L24">
            <v>59</v>
          </cell>
          <cell r="M24">
            <v>-100</v>
          </cell>
        </row>
        <row r="25">
          <cell r="A25" t="str">
            <v xml:space="preserve">  Refinado de Soya</v>
          </cell>
          <cell r="B25">
            <v>501</v>
          </cell>
          <cell r="C25">
            <v>1048</v>
          </cell>
          <cell r="D25">
            <v>-52.194656488549619</v>
          </cell>
          <cell r="E25">
            <v>12</v>
          </cell>
          <cell r="F25">
            <v>32</v>
          </cell>
          <cell r="G25">
            <v>-62.5</v>
          </cell>
          <cell r="H25">
            <v>379</v>
          </cell>
          <cell r="I25">
            <v>1057</v>
          </cell>
          <cell r="J25">
            <v>-64.143803216650895</v>
          </cell>
          <cell r="K25">
            <v>30</v>
          </cell>
          <cell r="L25">
            <v>32</v>
          </cell>
          <cell r="M25">
            <v>-6.25</v>
          </cell>
        </row>
        <row r="26">
          <cell r="A26" t="str">
            <v xml:space="preserve">  Refinado Palma</v>
          </cell>
          <cell r="B26">
            <v>3575</v>
          </cell>
          <cell r="C26">
            <v>3723</v>
          </cell>
          <cell r="D26">
            <v>-3.9752887456352415</v>
          </cell>
          <cell r="E26">
            <v>366</v>
          </cell>
          <cell r="F26">
            <v>515</v>
          </cell>
          <cell r="G26">
            <v>-28.932038834951456</v>
          </cell>
          <cell r="H26">
            <v>3468</v>
          </cell>
          <cell r="I26">
            <v>4496</v>
          </cell>
          <cell r="J26">
            <v>-22.864768683274018</v>
          </cell>
          <cell r="K26">
            <v>348</v>
          </cell>
          <cell r="L26">
            <v>653</v>
          </cell>
          <cell r="M26">
            <v>-46.707503828483922</v>
          </cell>
        </row>
        <row r="27">
          <cell r="A27" t="str">
            <v xml:space="preserve">  Refinado de Pescado</v>
          </cell>
          <cell r="B27">
            <v>1374</v>
          </cell>
          <cell r="C27">
            <v>3133</v>
          </cell>
          <cell r="D27">
            <v>-56.144270667092243</v>
          </cell>
          <cell r="E27">
            <v>331</v>
          </cell>
          <cell r="F27">
            <v>250</v>
          </cell>
          <cell r="G27">
            <v>32.400000000000006</v>
          </cell>
          <cell r="H27">
            <v>1235</v>
          </cell>
          <cell r="I27">
            <v>3155</v>
          </cell>
          <cell r="J27">
            <v>-60.855784469096676</v>
          </cell>
          <cell r="K27">
            <v>125</v>
          </cell>
          <cell r="L27">
            <v>184</v>
          </cell>
          <cell r="M27">
            <v>-32.065217391304344</v>
          </cell>
        </row>
        <row r="28">
          <cell r="A28" t="str">
            <v xml:space="preserve">  Semi Refinado de Palma</v>
          </cell>
          <cell r="B28" t="str">
            <v>--</v>
          </cell>
          <cell r="C28" t="str">
            <v>--</v>
          </cell>
          <cell r="D28" t="str">
            <v>--</v>
          </cell>
          <cell r="E28" t="str">
            <v>--</v>
          </cell>
          <cell r="F28" t="str">
            <v>--</v>
          </cell>
          <cell r="G28" t="str">
            <v>--</v>
          </cell>
          <cell r="H28" t="str">
            <v>--</v>
          </cell>
          <cell r="I28" t="str">
            <v>--</v>
          </cell>
          <cell r="J28" t="str">
            <v>--</v>
          </cell>
          <cell r="K28" t="str">
            <v>--</v>
          </cell>
          <cell r="L28" t="str">
            <v>--</v>
          </cell>
          <cell r="M28" t="str">
            <v>--</v>
          </cell>
        </row>
        <row r="29">
          <cell r="A29" t="str">
            <v xml:space="preserve">  Semi Ref. Girasol</v>
          </cell>
          <cell r="B29" t="str">
            <v>--</v>
          </cell>
          <cell r="C29">
            <v>659</v>
          </cell>
          <cell r="D29">
            <v>-100</v>
          </cell>
          <cell r="E29" t="str">
            <v>--</v>
          </cell>
          <cell r="F29" t="str">
            <v>--</v>
          </cell>
          <cell r="G29" t="str">
            <v>--</v>
          </cell>
          <cell r="H29" t="str">
            <v>--</v>
          </cell>
          <cell r="I29">
            <v>341</v>
          </cell>
          <cell r="J29">
            <v>-100</v>
          </cell>
          <cell r="K29" t="str">
            <v>--</v>
          </cell>
          <cell r="L29" t="str">
            <v>--</v>
          </cell>
          <cell r="M29" t="str">
            <v>--</v>
          </cell>
        </row>
        <row r="30">
          <cell r="A30" t="str">
            <v xml:space="preserve">  Semi Ref. Pescado</v>
          </cell>
          <cell r="B30" t="str">
            <v>--</v>
          </cell>
          <cell r="C30" t="str">
            <v>--</v>
          </cell>
          <cell r="D30" t="str">
            <v>--</v>
          </cell>
          <cell r="E30" t="str">
            <v>--</v>
          </cell>
          <cell r="F30" t="str">
            <v>--</v>
          </cell>
          <cell r="G30" t="str">
            <v>--</v>
          </cell>
          <cell r="H30" t="str">
            <v>--</v>
          </cell>
          <cell r="I30" t="str">
            <v>--</v>
          </cell>
          <cell r="J30" t="str">
            <v>--</v>
          </cell>
          <cell r="K30" t="str">
            <v>--</v>
          </cell>
          <cell r="L30" t="str">
            <v>--</v>
          </cell>
          <cell r="M30" t="str">
            <v>--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tadisticas.bcrp.gob.pe/estadisticas/series/trimestrales/resultados/PN03030FQ/html" TargetMode="External"/><Relationship Id="rId13" Type="http://schemas.openxmlformats.org/officeDocument/2006/relationships/hyperlink" Target="https://estadisticas.bcrp.gob.pe/estadisticas/series/trimestrales/resultados/PN03035FQ/html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estadisticas.bcrp.gob.pe/estadisticas/series/trimestrales/resultados/PN03025FQ/html" TargetMode="External"/><Relationship Id="rId7" Type="http://schemas.openxmlformats.org/officeDocument/2006/relationships/hyperlink" Target="https://estadisticas.bcrp.gob.pe/estadisticas/series/trimestrales/resultados/PN03029FQ/html" TargetMode="External"/><Relationship Id="rId12" Type="http://schemas.openxmlformats.org/officeDocument/2006/relationships/hyperlink" Target="https://estadisticas.bcrp.gob.pe/estadisticas/series/trimestrales/resultados/PN03034FQ/html" TargetMode="External"/><Relationship Id="rId17" Type="http://schemas.openxmlformats.org/officeDocument/2006/relationships/hyperlink" Target="https://estadisticas.bcrp.gob.pe/estadisticas/series/cuadros/notasemanaltrimestral/cn-113" TargetMode="External"/><Relationship Id="rId2" Type="http://schemas.openxmlformats.org/officeDocument/2006/relationships/hyperlink" Target="https://estadisticas.bcrp.gob.pe/estadisticas/series/trimestrales/resultados/PN03024FQ/html" TargetMode="External"/><Relationship Id="rId16" Type="http://schemas.openxmlformats.org/officeDocument/2006/relationships/hyperlink" Target="https://estadisticas.bcrp.gob.pe/estadisticas/series/trimestrales/resultados/PN03038FQ/html" TargetMode="External"/><Relationship Id="rId1" Type="http://schemas.openxmlformats.org/officeDocument/2006/relationships/hyperlink" Target="https://estadisticas.bcrp.gob.pe/estadisticas/series/cuadros/notasemanaltrimestral/cn-113" TargetMode="External"/><Relationship Id="rId6" Type="http://schemas.openxmlformats.org/officeDocument/2006/relationships/hyperlink" Target="https://estadisticas.bcrp.gob.pe/estadisticas/series/trimestrales/resultados/PN03028FQ/html" TargetMode="External"/><Relationship Id="rId11" Type="http://schemas.openxmlformats.org/officeDocument/2006/relationships/hyperlink" Target="https://estadisticas.bcrp.gob.pe/estadisticas/series/trimestrales/resultados/PN03033FQ/html" TargetMode="External"/><Relationship Id="rId5" Type="http://schemas.openxmlformats.org/officeDocument/2006/relationships/hyperlink" Target="https://estadisticas.bcrp.gob.pe/estadisticas/series/trimestrales/resultados/PN03027FQ/html" TargetMode="External"/><Relationship Id="rId15" Type="http://schemas.openxmlformats.org/officeDocument/2006/relationships/hyperlink" Target="https://estadisticas.bcrp.gob.pe/estadisticas/series/trimestrales/resultados/PN03037FQ/html" TargetMode="External"/><Relationship Id="rId10" Type="http://schemas.openxmlformats.org/officeDocument/2006/relationships/hyperlink" Target="https://estadisticas.bcrp.gob.pe/estadisticas/series/trimestrales/resultados/PN03032FQ/html" TargetMode="External"/><Relationship Id="rId4" Type="http://schemas.openxmlformats.org/officeDocument/2006/relationships/hyperlink" Target="https://estadisticas.bcrp.gob.pe/estadisticas/series/trimestrales/resultados/PN03026FQ/html" TargetMode="External"/><Relationship Id="rId9" Type="http://schemas.openxmlformats.org/officeDocument/2006/relationships/hyperlink" Target="https://estadisticas.bcrp.gob.pe/estadisticas/series/trimestrales/resultados/PN03031FQ/html" TargetMode="External"/><Relationship Id="rId14" Type="http://schemas.openxmlformats.org/officeDocument/2006/relationships/hyperlink" Target="https://estadisticas.bcrp.gob.pe/estadisticas/series/trimestrales/resultados/PN03036FQ/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ACB7D-0B50-4FA0-A802-7F925CC23170}">
  <sheetPr codeName="Hoja18">
    <pageSetUpPr fitToPage="1"/>
  </sheetPr>
  <dimension ref="B1:CZ86"/>
  <sheetViews>
    <sheetView showGridLines="0" tabSelected="1" zoomScale="85" zoomScaleNormal="85" zoomScaleSheetLayoutView="85" workbookViewId="0"/>
  </sheetViews>
  <sheetFormatPr baseColWidth="10" defaultColWidth="11.42578125" defaultRowHeight="14.25" x14ac:dyDescent="0.2"/>
  <cols>
    <col min="1" max="1" width="11.42578125" style="38" customWidth="1"/>
    <col min="2" max="2" width="48.140625" style="38" customWidth="1"/>
    <col min="3" max="92" width="9.7109375" style="38" hidden="1" customWidth="1"/>
    <col min="93" max="96" width="9.7109375" style="38" customWidth="1"/>
    <col min="97" max="97" width="11.28515625" style="38" bestFit="1" customWidth="1"/>
    <col min="98" max="101" width="9.7109375" style="38" customWidth="1"/>
    <col min="102" max="102" width="11.28515625" style="38" bestFit="1" customWidth="1"/>
    <col min="103" max="103" width="9.7109375" style="38" customWidth="1"/>
    <col min="104" max="104" width="73" style="38" customWidth="1"/>
    <col min="105" max="16384" width="11.42578125" style="38"/>
  </cols>
  <sheetData>
    <row r="1" spans="2:104" s="37" customFormat="1" ht="8.25" x14ac:dyDescent="0.15"/>
    <row r="2" spans="2:104" ht="15" x14ac:dyDescent="0.25">
      <c r="B2" s="1" t="s">
        <v>0</v>
      </c>
      <c r="C2" s="2"/>
      <c r="CO2" s="2"/>
    </row>
    <row r="3" spans="2:104" x14ac:dyDescent="0.2">
      <c r="B3" s="3" t="s">
        <v>1</v>
      </c>
      <c r="C3" s="4"/>
      <c r="CO3" s="4"/>
    </row>
    <row r="4" spans="2:104" ht="15" customHeight="1" x14ac:dyDescent="0.2">
      <c r="B4" s="5"/>
      <c r="C4" s="39">
        <v>2006</v>
      </c>
      <c r="D4" s="40"/>
      <c r="E4" s="40"/>
      <c r="F4" s="40"/>
      <c r="G4" s="41"/>
      <c r="H4" s="39">
        <v>2007</v>
      </c>
      <c r="I4" s="40"/>
      <c r="J4" s="40"/>
      <c r="K4" s="40"/>
      <c r="L4" s="41"/>
      <c r="M4" s="39">
        <v>2008</v>
      </c>
      <c r="N4" s="40"/>
      <c r="O4" s="40"/>
      <c r="P4" s="40"/>
      <c r="Q4" s="41"/>
      <c r="R4" s="39">
        <v>2009</v>
      </c>
      <c r="S4" s="40"/>
      <c r="T4" s="40"/>
      <c r="U4" s="40"/>
      <c r="V4" s="41"/>
      <c r="W4" s="39">
        <v>2010</v>
      </c>
      <c r="X4" s="40"/>
      <c r="Y4" s="40"/>
      <c r="Z4" s="40"/>
      <c r="AA4" s="41"/>
      <c r="AB4" s="39">
        <v>2011</v>
      </c>
      <c r="AC4" s="40"/>
      <c r="AD4" s="40"/>
      <c r="AE4" s="40"/>
      <c r="AF4" s="41"/>
      <c r="AG4" s="39">
        <v>2012</v>
      </c>
      <c r="AH4" s="40"/>
      <c r="AI4" s="40"/>
      <c r="AJ4" s="40"/>
      <c r="AK4" s="41"/>
      <c r="AL4" s="39">
        <v>2013</v>
      </c>
      <c r="AM4" s="40"/>
      <c r="AN4" s="40"/>
      <c r="AO4" s="40"/>
      <c r="AP4" s="41"/>
      <c r="AQ4" s="39">
        <v>2014</v>
      </c>
      <c r="AR4" s="40"/>
      <c r="AS4" s="40"/>
      <c r="AT4" s="40"/>
      <c r="AU4" s="41"/>
      <c r="AV4" s="39">
        <v>2015</v>
      </c>
      <c r="AW4" s="40"/>
      <c r="AX4" s="40"/>
      <c r="AY4" s="40"/>
      <c r="AZ4" s="41"/>
      <c r="BA4" s="39">
        <v>2016</v>
      </c>
      <c r="BB4" s="40"/>
      <c r="BC4" s="40"/>
      <c r="BD4" s="40"/>
      <c r="BE4" s="41"/>
      <c r="BF4" s="39">
        <v>2017</v>
      </c>
      <c r="BG4" s="40"/>
      <c r="BH4" s="40"/>
      <c r="BI4" s="40"/>
      <c r="BJ4" s="41"/>
      <c r="BK4" s="39">
        <v>2018</v>
      </c>
      <c r="BL4" s="40"/>
      <c r="BM4" s="40"/>
      <c r="BN4" s="40"/>
      <c r="BO4" s="41"/>
      <c r="BP4" s="39">
        <v>2019</v>
      </c>
      <c r="BQ4" s="40"/>
      <c r="BR4" s="40"/>
      <c r="BS4" s="40"/>
      <c r="BT4" s="41"/>
      <c r="BU4" s="39">
        <v>2020</v>
      </c>
      <c r="BV4" s="40"/>
      <c r="BW4" s="40"/>
      <c r="BX4" s="40"/>
      <c r="BY4" s="41"/>
      <c r="BZ4" s="39">
        <v>2021</v>
      </c>
      <c r="CA4" s="40"/>
      <c r="CB4" s="40"/>
      <c r="CC4" s="40"/>
      <c r="CD4" s="41"/>
      <c r="CE4" s="39">
        <v>2022</v>
      </c>
      <c r="CF4" s="40"/>
      <c r="CG4" s="40"/>
      <c r="CH4" s="40"/>
      <c r="CI4" s="41"/>
      <c r="CJ4" s="39">
        <v>2023</v>
      </c>
      <c r="CK4" s="40"/>
      <c r="CL4" s="40"/>
      <c r="CM4" s="40"/>
      <c r="CN4" s="41"/>
      <c r="CO4" s="39">
        <v>2024</v>
      </c>
      <c r="CP4" s="40"/>
      <c r="CQ4" s="40"/>
      <c r="CR4" s="40"/>
      <c r="CS4" s="41"/>
      <c r="CT4" s="39">
        <v>2025</v>
      </c>
      <c r="CU4" s="40"/>
      <c r="CV4" s="40"/>
      <c r="CW4" s="40"/>
      <c r="CX4" s="41"/>
      <c r="CY4" s="42">
        <v>2026</v>
      </c>
      <c r="CZ4" s="43"/>
    </row>
    <row r="5" spans="2:104" ht="15" customHeight="1" x14ac:dyDescent="0.25">
      <c r="B5" s="6"/>
      <c r="C5" s="44" t="s">
        <v>2</v>
      </c>
      <c r="D5" s="45" t="s">
        <v>3</v>
      </c>
      <c r="E5" s="45" t="s">
        <v>4</v>
      </c>
      <c r="F5" s="45" t="s">
        <v>5</v>
      </c>
      <c r="G5" s="46" t="s">
        <v>6</v>
      </c>
      <c r="H5" s="44" t="s">
        <v>2</v>
      </c>
      <c r="I5" s="45" t="s">
        <v>3</v>
      </c>
      <c r="J5" s="45" t="s">
        <v>4</v>
      </c>
      <c r="K5" s="45" t="s">
        <v>5</v>
      </c>
      <c r="L5" s="46" t="s">
        <v>6</v>
      </c>
      <c r="M5" s="44" t="s">
        <v>2</v>
      </c>
      <c r="N5" s="45" t="s">
        <v>3</v>
      </c>
      <c r="O5" s="45" t="s">
        <v>4</v>
      </c>
      <c r="P5" s="45" t="s">
        <v>5</v>
      </c>
      <c r="Q5" s="46" t="s">
        <v>6</v>
      </c>
      <c r="R5" s="44" t="s">
        <v>2</v>
      </c>
      <c r="S5" s="45" t="s">
        <v>3</v>
      </c>
      <c r="T5" s="45" t="s">
        <v>4</v>
      </c>
      <c r="U5" s="45" t="s">
        <v>5</v>
      </c>
      <c r="V5" s="46" t="s">
        <v>6</v>
      </c>
      <c r="W5" s="44" t="s">
        <v>2</v>
      </c>
      <c r="X5" s="45" t="s">
        <v>3</v>
      </c>
      <c r="Y5" s="45" t="s">
        <v>4</v>
      </c>
      <c r="Z5" s="45" t="s">
        <v>5</v>
      </c>
      <c r="AA5" s="46" t="s">
        <v>6</v>
      </c>
      <c r="AB5" s="44" t="s">
        <v>2</v>
      </c>
      <c r="AC5" s="45" t="s">
        <v>3</v>
      </c>
      <c r="AD5" s="45" t="s">
        <v>4</v>
      </c>
      <c r="AE5" s="45" t="s">
        <v>5</v>
      </c>
      <c r="AF5" s="46" t="s">
        <v>6</v>
      </c>
      <c r="AG5" s="44" t="s">
        <v>2</v>
      </c>
      <c r="AH5" s="45" t="s">
        <v>3</v>
      </c>
      <c r="AI5" s="45" t="s">
        <v>4</v>
      </c>
      <c r="AJ5" s="45" t="s">
        <v>5</v>
      </c>
      <c r="AK5" s="46" t="s">
        <v>6</v>
      </c>
      <c r="AL5" s="44" t="s">
        <v>2</v>
      </c>
      <c r="AM5" s="45" t="s">
        <v>3</v>
      </c>
      <c r="AN5" s="45" t="s">
        <v>4</v>
      </c>
      <c r="AO5" s="45" t="s">
        <v>5</v>
      </c>
      <c r="AP5" s="46" t="s">
        <v>6</v>
      </c>
      <c r="AQ5" s="44" t="s">
        <v>2</v>
      </c>
      <c r="AR5" s="45" t="s">
        <v>3</v>
      </c>
      <c r="AS5" s="45" t="s">
        <v>4</v>
      </c>
      <c r="AT5" s="45" t="s">
        <v>5</v>
      </c>
      <c r="AU5" s="46" t="s">
        <v>6</v>
      </c>
      <c r="AV5" s="44" t="s">
        <v>2</v>
      </c>
      <c r="AW5" s="45" t="s">
        <v>3</v>
      </c>
      <c r="AX5" s="45" t="s">
        <v>4</v>
      </c>
      <c r="AY5" s="45" t="s">
        <v>5</v>
      </c>
      <c r="AZ5" s="46" t="s">
        <v>6</v>
      </c>
      <c r="BA5" s="44" t="s">
        <v>2</v>
      </c>
      <c r="BB5" s="45" t="s">
        <v>3</v>
      </c>
      <c r="BC5" s="45" t="s">
        <v>4</v>
      </c>
      <c r="BD5" s="45" t="s">
        <v>5</v>
      </c>
      <c r="BE5" s="46" t="s">
        <v>6</v>
      </c>
      <c r="BF5" s="44" t="s">
        <v>2</v>
      </c>
      <c r="BG5" s="45" t="s">
        <v>3</v>
      </c>
      <c r="BH5" s="45" t="s">
        <v>4</v>
      </c>
      <c r="BI5" s="45" t="s">
        <v>5</v>
      </c>
      <c r="BJ5" s="46" t="s">
        <v>6</v>
      </c>
      <c r="BK5" s="44" t="s">
        <v>2</v>
      </c>
      <c r="BL5" s="45" t="s">
        <v>3</v>
      </c>
      <c r="BM5" s="45" t="s">
        <v>4</v>
      </c>
      <c r="BN5" s="45" t="s">
        <v>5</v>
      </c>
      <c r="BO5" s="46" t="s">
        <v>6</v>
      </c>
      <c r="BP5" s="44" t="s">
        <v>2</v>
      </c>
      <c r="BQ5" s="45" t="s">
        <v>3</v>
      </c>
      <c r="BR5" s="45" t="s">
        <v>4</v>
      </c>
      <c r="BS5" s="45" t="s">
        <v>5</v>
      </c>
      <c r="BT5" s="46" t="s">
        <v>6</v>
      </c>
      <c r="BU5" s="44" t="s">
        <v>2</v>
      </c>
      <c r="BV5" s="45" t="s">
        <v>3</v>
      </c>
      <c r="BW5" s="45" t="s">
        <v>4</v>
      </c>
      <c r="BX5" s="45" t="s">
        <v>5</v>
      </c>
      <c r="BY5" s="46" t="s">
        <v>6</v>
      </c>
      <c r="BZ5" s="44" t="s">
        <v>2</v>
      </c>
      <c r="CA5" s="45" t="s">
        <v>3</v>
      </c>
      <c r="CB5" s="45" t="s">
        <v>4</v>
      </c>
      <c r="CC5" s="45" t="s">
        <v>5</v>
      </c>
      <c r="CD5" s="46" t="s">
        <v>6</v>
      </c>
      <c r="CE5" s="44" t="s">
        <v>2</v>
      </c>
      <c r="CF5" s="45" t="s">
        <v>3</v>
      </c>
      <c r="CG5" s="45" t="s">
        <v>4</v>
      </c>
      <c r="CH5" s="45" t="s">
        <v>5</v>
      </c>
      <c r="CI5" s="46" t="s">
        <v>6</v>
      </c>
      <c r="CJ5" s="44" t="s">
        <v>2</v>
      </c>
      <c r="CK5" s="45" t="s">
        <v>3</v>
      </c>
      <c r="CL5" s="45" t="s">
        <v>4</v>
      </c>
      <c r="CM5" s="45" t="s">
        <v>5</v>
      </c>
      <c r="CN5" s="46" t="s">
        <v>6</v>
      </c>
      <c r="CO5" s="44" t="s">
        <v>2</v>
      </c>
      <c r="CP5" s="45" t="s">
        <v>3</v>
      </c>
      <c r="CQ5" s="45" t="s">
        <v>4</v>
      </c>
      <c r="CR5" s="45" t="s">
        <v>5</v>
      </c>
      <c r="CS5" s="46" t="s">
        <v>6</v>
      </c>
      <c r="CT5" s="44" t="s">
        <v>2</v>
      </c>
      <c r="CU5" s="45" t="s">
        <v>3</v>
      </c>
      <c r="CV5" s="45" t="s">
        <v>4</v>
      </c>
      <c r="CW5" s="45" t="s">
        <v>5</v>
      </c>
      <c r="CX5" s="46" t="s">
        <v>6</v>
      </c>
      <c r="CY5" s="47" t="s">
        <v>2</v>
      </c>
      <c r="CZ5" s="48"/>
    </row>
    <row r="6" spans="2:104" ht="15" customHeight="1" x14ac:dyDescent="0.2">
      <c r="B6" s="7"/>
      <c r="C6" s="49"/>
      <c r="D6" s="50"/>
      <c r="E6" s="50"/>
      <c r="F6" s="50"/>
      <c r="G6" s="51"/>
      <c r="H6" s="49"/>
      <c r="I6" s="50"/>
      <c r="J6" s="50"/>
      <c r="K6" s="50"/>
      <c r="L6" s="51"/>
      <c r="M6" s="49"/>
      <c r="N6" s="50"/>
      <c r="O6" s="50"/>
      <c r="P6" s="50"/>
      <c r="Q6" s="51"/>
      <c r="R6" s="49"/>
      <c r="S6" s="50"/>
      <c r="T6" s="50"/>
      <c r="U6" s="50"/>
      <c r="V6" s="51"/>
      <c r="W6" s="49"/>
      <c r="X6" s="50"/>
      <c r="Y6" s="50"/>
      <c r="Z6" s="50"/>
      <c r="AA6" s="51"/>
      <c r="AB6" s="49"/>
      <c r="AC6" s="50"/>
      <c r="AD6" s="50"/>
      <c r="AE6" s="50"/>
      <c r="AF6" s="51"/>
      <c r="AG6" s="49"/>
      <c r="AH6" s="50"/>
      <c r="AI6" s="50"/>
      <c r="AJ6" s="50"/>
      <c r="AK6" s="51"/>
      <c r="AL6" s="49"/>
      <c r="AM6" s="50"/>
      <c r="AN6" s="50"/>
      <c r="AO6" s="50"/>
      <c r="AP6" s="51"/>
      <c r="AQ6" s="49"/>
      <c r="AR6" s="50"/>
      <c r="AS6" s="50"/>
      <c r="AT6" s="50"/>
      <c r="AU6" s="51"/>
      <c r="AV6" s="49"/>
      <c r="AW6" s="50"/>
      <c r="AX6" s="50"/>
      <c r="AY6" s="50"/>
      <c r="AZ6" s="51"/>
      <c r="BA6" s="49"/>
      <c r="BB6" s="50"/>
      <c r="BC6" s="50"/>
      <c r="BD6" s="50"/>
      <c r="BE6" s="51"/>
      <c r="BF6" s="49"/>
      <c r="BG6" s="50"/>
      <c r="BH6" s="50"/>
      <c r="BI6" s="50"/>
      <c r="BJ6" s="51"/>
      <c r="BK6" s="49"/>
      <c r="BL6" s="50"/>
      <c r="BM6" s="50"/>
      <c r="BN6" s="50"/>
      <c r="BO6" s="51"/>
      <c r="BP6" s="49"/>
      <c r="BQ6" s="50"/>
      <c r="BR6" s="50"/>
      <c r="BS6" s="50"/>
      <c r="BT6" s="51"/>
      <c r="BU6" s="49"/>
      <c r="BV6" s="50"/>
      <c r="BW6" s="50"/>
      <c r="BX6" s="50"/>
      <c r="BY6" s="51"/>
      <c r="BZ6" s="49"/>
      <c r="CA6" s="50"/>
      <c r="CB6" s="50"/>
      <c r="CC6" s="50"/>
      <c r="CD6" s="51"/>
      <c r="CE6" s="49"/>
      <c r="CF6" s="50"/>
      <c r="CG6" s="50"/>
      <c r="CH6" s="50"/>
      <c r="CI6" s="51"/>
      <c r="CJ6" s="49"/>
      <c r="CK6" s="50"/>
      <c r="CL6" s="50"/>
      <c r="CM6" s="50"/>
      <c r="CN6" s="51"/>
      <c r="CO6" s="49"/>
      <c r="CP6" s="50"/>
      <c r="CQ6" s="50"/>
      <c r="CR6" s="50"/>
      <c r="CS6" s="51"/>
      <c r="CT6" s="49"/>
      <c r="CU6" s="50"/>
      <c r="CV6" s="50"/>
      <c r="CW6" s="50"/>
      <c r="CX6" s="51"/>
      <c r="CY6" s="52"/>
      <c r="CZ6" s="53"/>
    </row>
    <row r="7" spans="2:104" ht="15" customHeight="1" x14ac:dyDescent="0.25">
      <c r="B7" s="8" t="s">
        <v>7</v>
      </c>
      <c r="C7" s="54">
        <v>14173.2274207343</v>
      </c>
      <c r="D7" s="55">
        <v>16561.367452171598</v>
      </c>
      <c r="E7" s="55">
        <v>14573.661733573799</v>
      </c>
      <c r="F7" s="55">
        <v>14951.6509080055</v>
      </c>
      <c r="G7" s="56">
        <v>60259.907514485101</v>
      </c>
      <c r="H7" s="54">
        <v>15499.821757089399</v>
      </c>
      <c r="I7" s="55">
        <v>19886.708372952398</v>
      </c>
      <c r="J7" s="55">
        <v>17160.3016742734</v>
      </c>
      <c r="K7" s="55">
        <v>17018.539595433002</v>
      </c>
      <c r="L7" s="56">
        <v>69565.371399748299</v>
      </c>
      <c r="M7" s="54">
        <v>18252.0159317869</v>
      </c>
      <c r="N7" s="55">
        <v>21628.3302043601</v>
      </c>
      <c r="O7" s="55">
        <v>20328.710097393301</v>
      </c>
      <c r="P7" s="55">
        <v>18446.591424349099</v>
      </c>
      <c r="Q7" s="56">
        <v>78655.647657889407</v>
      </c>
      <c r="R7" s="54">
        <v>18092.057225353201</v>
      </c>
      <c r="S7" s="55">
        <v>19073.456854495798</v>
      </c>
      <c r="T7" s="55">
        <v>17154.9960628843</v>
      </c>
      <c r="U7" s="55">
        <v>18381.635857833</v>
      </c>
      <c r="V7" s="56">
        <v>72702.146000566296</v>
      </c>
      <c r="W7" s="54">
        <v>21338.978998761999</v>
      </c>
      <c r="X7" s="55">
        <v>23085.1184529532</v>
      </c>
      <c r="Y7" s="55">
        <v>21022.496385588602</v>
      </c>
      <c r="Z7" s="55">
        <v>22272.437931975499</v>
      </c>
      <c r="AA7" s="56">
        <v>87719.031769279405</v>
      </c>
      <c r="AB7" s="54">
        <v>25014.805630639701</v>
      </c>
      <c r="AC7" s="55">
        <v>27722.5244229286</v>
      </c>
      <c r="AD7" s="55">
        <v>24434.409711313601</v>
      </c>
      <c r="AE7" s="55">
        <v>25231.211861363201</v>
      </c>
      <c r="AF7" s="56">
        <v>102402.95162624501</v>
      </c>
      <c r="AG7" s="54">
        <v>28180.6526099615</v>
      </c>
      <c r="AH7" s="55">
        <v>30183.289563907201</v>
      </c>
      <c r="AI7" s="55">
        <v>27092.8582081803</v>
      </c>
      <c r="AJ7" s="55">
        <v>28201.994722034098</v>
      </c>
      <c r="AK7" s="56">
        <v>113658.79510408299</v>
      </c>
      <c r="AL7" s="54">
        <v>29876.7268423389</v>
      </c>
      <c r="AM7" s="55">
        <v>30911.431833383202</v>
      </c>
      <c r="AN7" s="55">
        <v>29091.977047690201</v>
      </c>
      <c r="AO7" s="55">
        <v>31076.485658866601</v>
      </c>
      <c r="AP7" s="56">
        <v>120956.621382279</v>
      </c>
      <c r="AQ7" s="54">
        <v>32864.905972234897</v>
      </c>
      <c r="AR7" s="55">
        <v>32578.059057930099</v>
      </c>
      <c r="AS7" s="55">
        <v>30462.276150872</v>
      </c>
      <c r="AT7" s="55">
        <v>32183.360479978201</v>
      </c>
      <c r="AU7" s="56">
        <v>128088.601661015</v>
      </c>
      <c r="AV7" s="54">
        <v>31714.574079092199</v>
      </c>
      <c r="AW7" s="55">
        <v>31411.497369766999</v>
      </c>
      <c r="AX7" s="55">
        <v>28713.602229944801</v>
      </c>
      <c r="AY7" s="55">
        <v>31251.853556866401</v>
      </c>
      <c r="AZ7" s="56">
        <v>123091.52723567</v>
      </c>
      <c r="BA7" s="54">
        <v>31297.690597074899</v>
      </c>
      <c r="BB7" s="55">
        <v>31535.900174532399</v>
      </c>
      <c r="BC7" s="55">
        <v>28923.624293897301</v>
      </c>
      <c r="BD7" s="55">
        <v>30772.754990547401</v>
      </c>
      <c r="BE7" s="56">
        <v>122529.970056052</v>
      </c>
      <c r="BF7" s="54">
        <v>32438.315407504801</v>
      </c>
      <c r="BG7" s="55">
        <v>30843.085891603499</v>
      </c>
      <c r="BH7" s="55">
        <v>29274.4972009511</v>
      </c>
      <c r="BI7" s="55">
        <v>33821.654939572203</v>
      </c>
      <c r="BJ7" s="56">
        <v>126377.553439632</v>
      </c>
      <c r="BK7" s="54">
        <v>35125.266925425603</v>
      </c>
      <c r="BL7" s="55">
        <v>39300.9878488955</v>
      </c>
      <c r="BM7" s="55">
        <v>33288.956712448802</v>
      </c>
      <c r="BN7" s="55">
        <v>34847.226089382202</v>
      </c>
      <c r="BO7" s="56">
        <v>142562.43757615201</v>
      </c>
      <c r="BP7" s="54">
        <v>38028.6109311533</v>
      </c>
      <c r="BQ7" s="55">
        <v>41634.449559028202</v>
      </c>
      <c r="BR7" s="55">
        <v>34400.520081452101</v>
      </c>
      <c r="BS7" s="55">
        <v>37774.728135963</v>
      </c>
      <c r="BT7" s="56">
        <v>151838.308707597</v>
      </c>
      <c r="BU7" s="54">
        <v>36591.328328850803</v>
      </c>
      <c r="BV7" s="55">
        <v>25769.174665639799</v>
      </c>
      <c r="BW7" s="55">
        <v>28936.799474670101</v>
      </c>
      <c r="BX7" s="55">
        <v>36577.571481421903</v>
      </c>
      <c r="BY7" s="56">
        <v>127874.873950583</v>
      </c>
      <c r="BZ7" s="54">
        <v>41929.542371803203</v>
      </c>
      <c r="CA7" s="55">
        <v>44757.395085552802</v>
      </c>
      <c r="CB7" s="55">
        <v>47839.7208093382</v>
      </c>
      <c r="CC7" s="55">
        <v>49347.819098333501</v>
      </c>
      <c r="CD7" s="56">
        <v>183874.477365028</v>
      </c>
      <c r="CE7" s="54">
        <v>52467.018008723397</v>
      </c>
      <c r="CF7" s="55">
        <v>57507.956192113801</v>
      </c>
      <c r="CG7" s="55">
        <v>48839.109974220497</v>
      </c>
      <c r="CH7" s="55">
        <v>48333.628334824403</v>
      </c>
      <c r="CI7" s="56">
        <v>207147.712509882</v>
      </c>
      <c r="CJ7" s="54">
        <v>53020.757222754299</v>
      </c>
      <c r="CK7" s="55">
        <v>51388.307784536097</v>
      </c>
      <c r="CL7" s="55">
        <v>44861.805230481201</v>
      </c>
      <c r="CM7" s="55">
        <v>48544.124661379203</v>
      </c>
      <c r="CN7" s="56">
        <v>197814.994899151</v>
      </c>
      <c r="CO7" s="54">
        <v>50061.246222050097</v>
      </c>
      <c r="CP7" s="55">
        <v>52118.212997042399</v>
      </c>
      <c r="CQ7" s="55">
        <v>51018.9718420766</v>
      </c>
      <c r="CR7" s="55">
        <v>54197.995853069202</v>
      </c>
      <c r="CS7" s="56">
        <v>207396.42691423799</v>
      </c>
      <c r="CT7" s="54">
        <v>56420.622327486002</v>
      </c>
      <c r="CU7" s="55">
        <v>60451.927714944002</v>
      </c>
      <c r="CV7" s="55">
        <v>54902.413204900302</v>
      </c>
      <c r="CW7" s="55">
        <v>58806.7313879211</v>
      </c>
      <c r="CX7" s="56">
        <v>230581.69463525101</v>
      </c>
      <c r="CY7" s="57">
        <v>61145.352226465497</v>
      </c>
      <c r="CZ7" s="9" t="s">
        <v>8</v>
      </c>
    </row>
    <row r="8" spans="2:104" ht="15" customHeight="1" x14ac:dyDescent="0.2">
      <c r="B8" s="10" t="s">
        <v>9</v>
      </c>
      <c r="C8" s="58">
        <v>10570.0532795901</v>
      </c>
      <c r="D8" s="59">
        <v>13426.7441471047</v>
      </c>
      <c r="E8" s="59">
        <v>10970.2318405768</v>
      </c>
      <c r="F8" s="59">
        <v>11607.385417912999</v>
      </c>
      <c r="G8" s="60">
        <v>46574.414685184602</v>
      </c>
      <c r="H8" s="58">
        <v>11755.2562331237</v>
      </c>
      <c r="I8" s="59">
        <v>15648.6119430257</v>
      </c>
      <c r="J8" s="59">
        <v>13181.4893210767</v>
      </c>
      <c r="K8" s="59">
        <v>12945.805285444299</v>
      </c>
      <c r="L8" s="60">
        <v>53531.162782670399</v>
      </c>
      <c r="M8" s="58">
        <v>13835.069076265099</v>
      </c>
      <c r="N8" s="59">
        <v>16522.4052937493</v>
      </c>
      <c r="O8" s="59">
        <v>15108.340967145001</v>
      </c>
      <c r="P8" s="59">
        <v>14223.5428791387</v>
      </c>
      <c r="Q8" s="60">
        <v>59689.358216298097</v>
      </c>
      <c r="R8" s="58">
        <v>13413.7322094967</v>
      </c>
      <c r="S8" s="59">
        <v>13908.6353480662</v>
      </c>
      <c r="T8" s="59">
        <v>12610.9533992331</v>
      </c>
      <c r="U8" s="59">
        <v>13957.8763916599</v>
      </c>
      <c r="V8" s="60">
        <v>53891.197348455898</v>
      </c>
      <c r="W8" s="58">
        <v>15979.1918940003</v>
      </c>
      <c r="X8" s="59">
        <v>17628.8916460252</v>
      </c>
      <c r="Y8" s="59">
        <v>15803.3426411572</v>
      </c>
      <c r="Z8" s="59">
        <v>16549.1141602719</v>
      </c>
      <c r="AA8" s="60">
        <v>65960.540341454602</v>
      </c>
      <c r="AB8" s="58">
        <v>19094.810895549101</v>
      </c>
      <c r="AC8" s="59">
        <v>20880.378846142601</v>
      </c>
      <c r="AD8" s="59">
        <v>18304.340757025901</v>
      </c>
      <c r="AE8" s="59">
        <v>18985.991610741199</v>
      </c>
      <c r="AF8" s="60">
        <v>77265.522109458805</v>
      </c>
      <c r="AG8" s="58">
        <v>21523.421316441701</v>
      </c>
      <c r="AH8" s="59">
        <v>22596.844811348001</v>
      </c>
      <c r="AI8" s="59">
        <v>20392.9635922542</v>
      </c>
      <c r="AJ8" s="59">
        <v>21583.987775880501</v>
      </c>
      <c r="AK8" s="60">
        <v>86097.2174959244</v>
      </c>
      <c r="AL8" s="58">
        <v>22455.204408556001</v>
      </c>
      <c r="AM8" s="59">
        <v>23071.806376426</v>
      </c>
      <c r="AN8" s="59">
        <v>22184.032853266599</v>
      </c>
      <c r="AO8" s="59">
        <v>23909.382477097199</v>
      </c>
      <c r="AP8" s="60">
        <v>91620.426115345806</v>
      </c>
      <c r="AQ8" s="58">
        <v>25054.639956330899</v>
      </c>
      <c r="AR8" s="59">
        <v>24615.675383935501</v>
      </c>
      <c r="AS8" s="59">
        <v>22983.045214378199</v>
      </c>
      <c r="AT8" s="59">
        <v>25001.050632485101</v>
      </c>
      <c r="AU8" s="60">
        <v>97654.411187129706</v>
      </c>
      <c r="AV8" s="58">
        <v>24158.737548016001</v>
      </c>
      <c r="AW8" s="59">
        <v>23010.19085024</v>
      </c>
      <c r="AX8" s="59">
        <v>21508.649368640999</v>
      </c>
      <c r="AY8" s="59">
        <v>24113.023580091402</v>
      </c>
      <c r="AZ8" s="60">
        <v>92790.601346988406</v>
      </c>
      <c r="BA8" s="58">
        <v>24226.623878054001</v>
      </c>
      <c r="BB8" s="59">
        <v>23304.451213335899</v>
      </c>
      <c r="BC8" s="59">
        <v>21335.315189356301</v>
      </c>
      <c r="BD8" s="59">
        <v>23286.605889480001</v>
      </c>
      <c r="BE8" s="60">
        <v>92152.996170226193</v>
      </c>
      <c r="BF8" s="58">
        <v>23108.386942810001</v>
      </c>
      <c r="BG8" s="59">
        <v>22444.159165885801</v>
      </c>
      <c r="BH8" s="59">
        <v>21820.883663479999</v>
      </c>
      <c r="BI8" s="59">
        <v>26026.562566029999</v>
      </c>
      <c r="BJ8" s="60">
        <v>93399.992338205804</v>
      </c>
      <c r="BK8" s="58">
        <v>26434.86153695</v>
      </c>
      <c r="BL8" s="59">
        <v>29414.755114221902</v>
      </c>
      <c r="BM8" s="59">
        <v>24969.494991704902</v>
      </c>
      <c r="BN8" s="59">
        <v>26539.359028210001</v>
      </c>
      <c r="BO8" s="60">
        <v>107358.47067108699</v>
      </c>
      <c r="BP8" s="58">
        <v>28679.222740239999</v>
      </c>
      <c r="BQ8" s="59">
        <v>30958.75887605</v>
      </c>
      <c r="BR8" s="59">
        <v>25431.775291229998</v>
      </c>
      <c r="BS8" s="59">
        <v>28699.57229263</v>
      </c>
      <c r="BT8" s="60">
        <v>113769.32920014999</v>
      </c>
      <c r="BU8" s="58">
        <v>27778.264669857101</v>
      </c>
      <c r="BV8" s="59">
        <v>19730.3297494125</v>
      </c>
      <c r="BW8" s="59">
        <v>21215.466715443501</v>
      </c>
      <c r="BX8" s="59">
        <v>26799.012041227899</v>
      </c>
      <c r="BY8" s="60">
        <v>95523.073175940997</v>
      </c>
      <c r="BZ8" s="58">
        <v>32809.382996059998</v>
      </c>
      <c r="CA8" s="59">
        <v>35229.634126849996</v>
      </c>
      <c r="CB8" s="59">
        <v>36393.257659130002</v>
      </c>
      <c r="CC8" s="59">
        <v>38715.044247830003</v>
      </c>
      <c r="CD8" s="60">
        <v>143147.31902987001</v>
      </c>
      <c r="CE8" s="58">
        <v>41223.865196138497</v>
      </c>
      <c r="CF8" s="59">
        <v>45356.783737819998</v>
      </c>
      <c r="CG8" s="59">
        <v>37441.348074987</v>
      </c>
      <c r="CH8" s="59">
        <v>37220.239183454498</v>
      </c>
      <c r="CI8" s="60">
        <v>161242.23619240001</v>
      </c>
      <c r="CJ8" s="58">
        <v>41801.639230563698</v>
      </c>
      <c r="CK8" s="59">
        <v>38992.919523919903</v>
      </c>
      <c r="CL8" s="59">
        <v>33520.9032958608</v>
      </c>
      <c r="CM8" s="59">
        <v>36669.354019836697</v>
      </c>
      <c r="CN8" s="60">
        <v>150984.816070181</v>
      </c>
      <c r="CO8" s="58">
        <v>38741.312397195099</v>
      </c>
      <c r="CP8" s="59">
        <v>40856.955323607603</v>
      </c>
      <c r="CQ8" s="59">
        <v>37566.302261850004</v>
      </c>
      <c r="CR8" s="59">
        <v>42711.533157196398</v>
      </c>
      <c r="CS8" s="60">
        <v>159876.103139849</v>
      </c>
      <c r="CT8" s="58">
        <v>44444.103346121701</v>
      </c>
      <c r="CU8" s="59">
        <v>47495.863405342701</v>
      </c>
      <c r="CV8" s="59">
        <v>41827.643511874303</v>
      </c>
      <c r="CW8" s="59">
        <v>45956.959619187503</v>
      </c>
      <c r="CX8" s="60">
        <v>179724.569882526</v>
      </c>
      <c r="CY8" s="61">
        <v>48689.587564275498</v>
      </c>
      <c r="CZ8" s="11" t="s">
        <v>10</v>
      </c>
    </row>
    <row r="9" spans="2:104" ht="15" customHeight="1" x14ac:dyDescent="0.2">
      <c r="B9" s="10" t="s">
        <v>11</v>
      </c>
      <c r="C9" s="58">
        <v>3603.1741411441999</v>
      </c>
      <c r="D9" s="59">
        <v>3134.6233050668402</v>
      </c>
      <c r="E9" s="59">
        <v>3603.42989299696</v>
      </c>
      <c r="F9" s="59">
        <v>3344.2654900924999</v>
      </c>
      <c r="G9" s="60">
        <v>13685.4928293005</v>
      </c>
      <c r="H9" s="58">
        <v>3744.5655239656999</v>
      </c>
      <c r="I9" s="59">
        <v>4238.0964299266598</v>
      </c>
      <c r="J9" s="59">
        <v>3978.8123531966899</v>
      </c>
      <c r="K9" s="59">
        <v>4072.7343099887898</v>
      </c>
      <c r="L9" s="60">
        <v>16034.2086170778</v>
      </c>
      <c r="M9" s="58">
        <v>4416.94685552183</v>
      </c>
      <c r="N9" s="59">
        <v>5105.92491061085</v>
      </c>
      <c r="O9" s="59">
        <v>5220.3691302482703</v>
      </c>
      <c r="P9" s="59">
        <v>4223.0485452104003</v>
      </c>
      <c r="Q9" s="60">
        <v>18966.289441591402</v>
      </c>
      <c r="R9" s="58">
        <v>4678.3250158564497</v>
      </c>
      <c r="S9" s="59">
        <v>5164.8215064296101</v>
      </c>
      <c r="T9" s="59">
        <v>4544.0426636512502</v>
      </c>
      <c r="U9" s="59">
        <v>4423.75946617312</v>
      </c>
      <c r="V9" s="60">
        <v>18810.948652110401</v>
      </c>
      <c r="W9" s="58">
        <v>5359.78710476174</v>
      </c>
      <c r="X9" s="59">
        <v>5456.2268069280499</v>
      </c>
      <c r="Y9" s="59">
        <v>5219.1537444313899</v>
      </c>
      <c r="Z9" s="59">
        <v>5723.32377170362</v>
      </c>
      <c r="AA9" s="60">
        <v>21758.4914278248</v>
      </c>
      <c r="AB9" s="58">
        <v>5919.9947350906496</v>
      </c>
      <c r="AC9" s="59">
        <v>6842.1455767859698</v>
      </c>
      <c r="AD9" s="59">
        <v>6130.0689542876999</v>
      </c>
      <c r="AE9" s="59">
        <v>6245.2202506219801</v>
      </c>
      <c r="AF9" s="60">
        <v>25137.429516786298</v>
      </c>
      <c r="AG9" s="58">
        <v>6657.2312935198197</v>
      </c>
      <c r="AH9" s="59">
        <v>7586.4447525592605</v>
      </c>
      <c r="AI9" s="59">
        <v>6699.8946159261004</v>
      </c>
      <c r="AJ9" s="59">
        <v>6618.0069461535904</v>
      </c>
      <c r="AK9" s="60">
        <v>27561.577608158801</v>
      </c>
      <c r="AL9" s="58">
        <v>7421.5224337829204</v>
      </c>
      <c r="AM9" s="59">
        <v>7839.6254569572502</v>
      </c>
      <c r="AN9" s="59">
        <v>6907.9441944236196</v>
      </c>
      <c r="AO9" s="59">
        <v>7167.1031817694802</v>
      </c>
      <c r="AP9" s="60">
        <v>29336.1952669333</v>
      </c>
      <c r="AQ9" s="58">
        <v>7810.2660159039997</v>
      </c>
      <c r="AR9" s="59">
        <v>7962.3836739946</v>
      </c>
      <c r="AS9" s="59">
        <v>7479.2309364937901</v>
      </c>
      <c r="AT9" s="59">
        <v>7182.3098474931103</v>
      </c>
      <c r="AU9" s="60">
        <v>30434.190473885501</v>
      </c>
      <c r="AV9" s="58">
        <v>7555.8365310761501</v>
      </c>
      <c r="AW9" s="59">
        <v>8401.3065195269901</v>
      </c>
      <c r="AX9" s="59">
        <v>7204.9528613038101</v>
      </c>
      <c r="AY9" s="59">
        <v>7138.8299767750004</v>
      </c>
      <c r="AZ9" s="60">
        <v>30300.925888681901</v>
      </c>
      <c r="BA9" s="58">
        <v>7071.0667190208596</v>
      </c>
      <c r="BB9" s="59">
        <v>8231.4489611964891</v>
      </c>
      <c r="BC9" s="59">
        <v>7588.3091045411302</v>
      </c>
      <c r="BD9" s="59">
        <v>7486.1491010673599</v>
      </c>
      <c r="BE9" s="60">
        <v>30376.973885825799</v>
      </c>
      <c r="BF9" s="58">
        <v>9329.9284646947799</v>
      </c>
      <c r="BG9" s="59">
        <v>8398.9267257177198</v>
      </c>
      <c r="BH9" s="59">
        <v>7453.6135374711002</v>
      </c>
      <c r="BI9" s="59">
        <v>7795.0923735422803</v>
      </c>
      <c r="BJ9" s="60">
        <v>32977.561101425898</v>
      </c>
      <c r="BK9" s="58">
        <v>8690.4053884756104</v>
      </c>
      <c r="BL9" s="59">
        <v>9886.2327346735492</v>
      </c>
      <c r="BM9" s="59">
        <v>8319.4617207438805</v>
      </c>
      <c r="BN9" s="59">
        <v>8307.86706117221</v>
      </c>
      <c r="BO9" s="60">
        <v>35203.966905065303</v>
      </c>
      <c r="BP9" s="58">
        <v>9349.3881909133306</v>
      </c>
      <c r="BQ9" s="59">
        <v>10675.6906829782</v>
      </c>
      <c r="BR9" s="59">
        <v>8968.7447902221902</v>
      </c>
      <c r="BS9" s="59">
        <v>9075.1558433330501</v>
      </c>
      <c r="BT9" s="60">
        <v>38068.979507446697</v>
      </c>
      <c r="BU9" s="58">
        <v>8813.0636589936294</v>
      </c>
      <c r="BV9" s="59">
        <v>6038.84491622735</v>
      </c>
      <c r="BW9" s="59">
        <v>7721.3327592266196</v>
      </c>
      <c r="BX9" s="59">
        <v>9778.5594401940198</v>
      </c>
      <c r="BY9" s="60">
        <v>32351.800774641601</v>
      </c>
      <c r="BZ9" s="58">
        <v>9120.1593757431801</v>
      </c>
      <c r="CA9" s="59">
        <v>9527.7609587027</v>
      </c>
      <c r="CB9" s="59">
        <v>11446.463150208199</v>
      </c>
      <c r="CC9" s="59">
        <v>10632.7748505035</v>
      </c>
      <c r="CD9" s="60">
        <v>40727.158335157503</v>
      </c>
      <c r="CE9" s="58">
        <v>11243.1528125848</v>
      </c>
      <c r="CF9" s="59">
        <v>12151.172454293799</v>
      </c>
      <c r="CG9" s="59">
        <v>11397.761899233499</v>
      </c>
      <c r="CH9" s="59">
        <v>11113.3891513698</v>
      </c>
      <c r="CI9" s="60">
        <v>45905.476317481902</v>
      </c>
      <c r="CJ9" s="58">
        <v>11219.1179921906</v>
      </c>
      <c r="CK9" s="59">
        <v>12395.388260616201</v>
      </c>
      <c r="CL9" s="59">
        <v>11340.9019346203</v>
      </c>
      <c r="CM9" s="59">
        <v>11874.7706415424</v>
      </c>
      <c r="CN9" s="60">
        <v>46830.178828969503</v>
      </c>
      <c r="CO9" s="58">
        <v>11319.933824855099</v>
      </c>
      <c r="CP9" s="59">
        <v>11261.2576734349</v>
      </c>
      <c r="CQ9" s="59">
        <v>13452.6695802266</v>
      </c>
      <c r="CR9" s="59">
        <v>11486.4626958728</v>
      </c>
      <c r="CS9" s="60">
        <v>47520.323774389297</v>
      </c>
      <c r="CT9" s="58">
        <v>11976.518981364299</v>
      </c>
      <c r="CU9" s="59">
        <v>12956.064309601201</v>
      </c>
      <c r="CV9" s="59">
        <v>13074.769693026001</v>
      </c>
      <c r="CW9" s="59">
        <v>12849.771768733601</v>
      </c>
      <c r="CX9" s="60">
        <v>50857.124752725103</v>
      </c>
      <c r="CY9" s="61">
        <v>12455.7646621899</v>
      </c>
      <c r="CZ9" s="11" t="s">
        <v>12</v>
      </c>
    </row>
    <row r="10" spans="2:104" ht="15" customHeight="1" x14ac:dyDescent="0.2">
      <c r="B10" s="12"/>
      <c r="C10" s="62"/>
      <c r="D10" s="63"/>
      <c r="E10" s="63"/>
      <c r="F10" s="63"/>
      <c r="G10" s="64"/>
      <c r="H10" s="62"/>
      <c r="I10" s="63"/>
      <c r="J10" s="63"/>
      <c r="K10" s="63"/>
      <c r="L10" s="64"/>
      <c r="M10" s="62"/>
      <c r="N10" s="63"/>
      <c r="O10" s="63"/>
      <c r="P10" s="63"/>
      <c r="Q10" s="64"/>
      <c r="R10" s="62"/>
      <c r="S10" s="63"/>
      <c r="T10" s="63"/>
      <c r="U10" s="63"/>
      <c r="V10" s="64"/>
      <c r="W10" s="62"/>
      <c r="X10" s="63"/>
      <c r="Y10" s="63"/>
      <c r="Z10" s="63"/>
      <c r="AA10" s="64"/>
      <c r="AB10" s="62"/>
      <c r="AC10" s="63"/>
      <c r="AD10" s="63"/>
      <c r="AE10" s="63"/>
      <c r="AF10" s="64"/>
      <c r="AG10" s="62"/>
      <c r="AH10" s="63"/>
      <c r="AI10" s="63"/>
      <c r="AJ10" s="63"/>
      <c r="AK10" s="64"/>
      <c r="AL10" s="62"/>
      <c r="AM10" s="63"/>
      <c r="AN10" s="63"/>
      <c r="AO10" s="63"/>
      <c r="AP10" s="64"/>
      <c r="AQ10" s="62"/>
      <c r="AR10" s="63"/>
      <c r="AS10" s="63"/>
      <c r="AT10" s="63"/>
      <c r="AU10" s="64"/>
      <c r="AV10" s="62"/>
      <c r="AW10" s="63"/>
      <c r="AX10" s="63"/>
      <c r="AY10" s="63"/>
      <c r="AZ10" s="64"/>
      <c r="BA10" s="62"/>
      <c r="BB10" s="63"/>
      <c r="BC10" s="63"/>
      <c r="BD10" s="63"/>
      <c r="BE10" s="64"/>
      <c r="BF10" s="62"/>
      <c r="BG10" s="63"/>
      <c r="BH10" s="63"/>
      <c r="BI10" s="63"/>
      <c r="BJ10" s="64"/>
      <c r="BK10" s="62"/>
      <c r="BL10" s="63"/>
      <c r="BM10" s="63"/>
      <c r="BN10" s="63"/>
      <c r="BO10" s="64"/>
      <c r="BP10" s="62"/>
      <c r="BQ10" s="63"/>
      <c r="BR10" s="63"/>
      <c r="BS10" s="63"/>
      <c r="BT10" s="64"/>
      <c r="BU10" s="62"/>
      <c r="BV10" s="63"/>
      <c r="BW10" s="63"/>
      <c r="BX10" s="63"/>
      <c r="BY10" s="64"/>
      <c r="BZ10" s="62"/>
      <c r="CA10" s="63"/>
      <c r="CB10" s="63"/>
      <c r="CC10" s="63"/>
      <c r="CD10" s="64"/>
      <c r="CE10" s="62"/>
      <c r="CF10" s="63"/>
      <c r="CG10" s="63"/>
      <c r="CH10" s="63"/>
      <c r="CI10" s="64"/>
      <c r="CJ10" s="62"/>
      <c r="CK10" s="63"/>
      <c r="CL10" s="63"/>
      <c r="CM10" s="63"/>
      <c r="CN10" s="64"/>
      <c r="CO10" s="62"/>
      <c r="CP10" s="63"/>
      <c r="CQ10" s="63"/>
      <c r="CR10" s="63"/>
      <c r="CS10" s="64"/>
      <c r="CT10" s="62"/>
      <c r="CU10" s="63"/>
      <c r="CV10" s="63"/>
      <c r="CW10" s="63"/>
      <c r="CX10" s="64"/>
      <c r="CY10" s="65"/>
      <c r="CZ10" s="12"/>
    </row>
    <row r="11" spans="2:104" ht="15" customHeight="1" x14ac:dyDescent="0.25">
      <c r="B11" s="8" t="s">
        <v>13</v>
      </c>
      <c r="C11" s="54">
        <v>9809.2645577583407</v>
      </c>
      <c r="D11" s="55">
        <v>10918.684311745201</v>
      </c>
      <c r="E11" s="55">
        <v>12255.845928491201</v>
      </c>
      <c r="F11" s="55">
        <v>15863.1579595235</v>
      </c>
      <c r="G11" s="56">
        <v>48846.9527575182</v>
      </c>
      <c r="H11" s="54">
        <v>10245.5619875961</v>
      </c>
      <c r="I11" s="55">
        <v>12028.9540072009</v>
      </c>
      <c r="J11" s="55">
        <v>13990.1657414232</v>
      </c>
      <c r="K11" s="55">
        <v>18512.032569001902</v>
      </c>
      <c r="L11" s="56">
        <v>54776.7143052221</v>
      </c>
      <c r="M11" s="54">
        <v>12925.395904688199</v>
      </c>
      <c r="N11" s="55">
        <v>15223.3831924363</v>
      </c>
      <c r="O11" s="55">
        <v>17175.9414112413</v>
      </c>
      <c r="P11" s="55">
        <v>19052.549102271201</v>
      </c>
      <c r="Q11" s="56">
        <v>64377.269610636999</v>
      </c>
      <c r="R11" s="54">
        <v>13412.1413706895</v>
      </c>
      <c r="S11" s="55">
        <v>16066.0486645775</v>
      </c>
      <c r="T11" s="55">
        <v>18839.123754423599</v>
      </c>
      <c r="U11" s="55">
        <v>25318.4885528134</v>
      </c>
      <c r="V11" s="56">
        <v>73635.802342504001</v>
      </c>
      <c r="W11" s="54">
        <v>16672.260602145601</v>
      </c>
      <c r="X11" s="55">
        <v>19401.439542628101</v>
      </c>
      <c r="Y11" s="55">
        <v>20914.934886962401</v>
      </c>
      <c r="Z11" s="55">
        <v>26583.932972196799</v>
      </c>
      <c r="AA11" s="56">
        <v>83572.568003932902</v>
      </c>
      <c r="AB11" s="54">
        <v>16514.205735019601</v>
      </c>
      <c r="AC11" s="55">
        <v>19941.7081585741</v>
      </c>
      <c r="AD11" s="55">
        <v>21259.481552555601</v>
      </c>
      <c r="AE11" s="55">
        <v>29878.435824348799</v>
      </c>
      <c r="AF11" s="56">
        <v>87593.831270498194</v>
      </c>
      <c r="AG11" s="54">
        <v>17774.900798233899</v>
      </c>
      <c r="AH11" s="55">
        <v>20967.152213060999</v>
      </c>
      <c r="AI11" s="55">
        <v>23911.242069502401</v>
      </c>
      <c r="AJ11" s="55">
        <v>35242.731301150503</v>
      </c>
      <c r="AK11" s="56">
        <v>97896.026381947799</v>
      </c>
      <c r="AL11" s="54">
        <v>19712.418769705</v>
      </c>
      <c r="AM11" s="55">
        <v>25187.399021748501</v>
      </c>
      <c r="AN11" s="55">
        <v>27484.563318772001</v>
      </c>
      <c r="AO11" s="55">
        <v>39399.452009126602</v>
      </c>
      <c r="AP11" s="56">
        <v>111783.833119352</v>
      </c>
      <c r="AQ11" s="54">
        <v>22763.475857840102</v>
      </c>
      <c r="AR11" s="55">
        <v>26733.678273186099</v>
      </c>
      <c r="AS11" s="55">
        <v>31925.598844223001</v>
      </c>
      <c r="AT11" s="55">
        <v>42360.766505794803</v>
      </c>
      <c r="AU11" s="56">
        <v>123783.519481044</v>
      </c>
      <c r="AV11" s="54">
        <v>23548.878304843998</v>
      </c>
      <c r="AW11" s="55">
        <v>29175.379469585201</v>
      </c>
      <c r="AX11" s="55">
        <v>31782.690322202001</v>
      </c>
      <c r="AY11" s="55">
        <v>45384.416321134297</v>
      </c>
      <c r="AZ11" s="56">
        <v>129891.364417765</v>
      </c>
      <c r="BA11" s="54">
        <v>26990.532725619199</v>
      </c>
      <c r="BB11" s="55">
        <v>30574.7776711648</v>
      </c>
      <c r="BC11" s="55">
        <v>32971.0140563897</v>
      </c>
      <c r="BD11" s="55">
        <v>40252.543917799703</v>
      </c>
      <c r="BE11" s="56">
        <v>130788.868370973</v>
      </c>
      <c r="BF11" s="54">
        <v>27401.115526012301</v>
      </c>
      <c r="BG11" s="55">
        <v>31823.514733341999</v>
      </c>
      <c r="BH11" s="55">
        <v>34950.442431375697</v>
      </c>
      <c r="BI11" s="55">
        <v>45646.8731152771</v>
      </c>
      <c r="BJ11" s="56">
        <v>139821.94580600699</v>
      </c>
      <c r="BK11" s="54">
        <v>29261.933768425599</v>
      </c>
      <c r="BL11" s="55">
        <v>34465.494008571397</v>
      </c>
      <c r="BM11" s="55">
        <v>37180.406242445599</v>
      </c>
      <c r="BN11" s="55">
        <v>48302.253867923697</v>
      </c>
      <c r="BO11" s="56">
        <v>149210.08788736601</v>
      </c>
      <c r="BP11" s="54">
        <v>28565.984594216901</v>
      </c>
      <c r="BQ11" s="55">
        <v>36531.387105078502</v>
      </c>
      <c r="BR11" s="55">
        <v>38858.4166547817</v>
      </c>
      <c r="BS11" s="55">
        <v>50429.022868200998</v>
      </c>
      <c r="BT11" s="56">
        <v>154384.81122227799</v>
      </c>
      <c r="BU11" s="54">
        <v>32680.509922908401</v>
      </c>
      <c r="BV11" s="55">
        <v>33390.856988167099</v>
      </c>
      <c r="BW11" s="55">
        <v>42369.598695979497</v>
      </c>
      <c r="BX11" s="55">
        <v>69100.947188117207</v>
      </c>
      <c r="BY11" s="56">
        <v>177541.91279517199</v>
      </c>
      <c r="BZ11" s="54">
        <v>39570.980753257601</v>
      </c>
      <c r="CA11" s="55">
        <v>42738.1353742703</v>
      </c>
      <c r="CB11" s="55">
        <v>47926.93385786</v>
      </c>
      <c r="CC11" s="55">
        <v>63964.203219339397</v>
      </c>
      <c r="CD11" s="56">
        <v>194200.25320472699</v>
      </c>
      <c r="CE11" s="54">
        <v>39084.129222732699</v>
      </c>
      <c r="CF11" s="55">
        <v>46580.713154163299</v>
      </c>
      <c r="CG11" s="55">
        <v>51708.4422664089</v>
      </c>
      <c r="CH11" s="55">
        <v>69161.236450653494</v>
      </c>
      <c r="CI11" s="56">
        <v>206534.521093958</v>
      </c>
      <c r="CJ11" s="54">
        <v>42542.751595140398</v>
      </c>
      <c r="CK11" s="55">
        <v>48328.298472451199</v>
      </c>
      <c r="CL11" s="55">
        <v>50345.519588189098</v>
      </c>
      <c r="CM11" s="55">
        <v>68110.8836192054</v>
      </c>
      <c r="CN11" s="56">
        <v>209327.45327498601</v>
      </c>
      <c r="CO11" s="54">
        <v>46310.110448109197</v>
      </c>
      <c r="CP11" s="55">
        <v>52577.607683247799</v>
      </c>
      <c r="CQ11" s="55">
        <v>62133.673566724901</v>
      </c>
      <c r="CR11" s="55">
        <v>68802.939874202595</v>
      </c>
      <c r="CS11" s="56">
        <v>229824.33157228399</v>
      </c>
      <c r="CT11" s="54">
        <v>51296.0467019274</v>
      </c>
      <c r="CU11" s="55">
        <v>56012.564492554899</v>
      </c>
      <c r="CV11" s="55">
        <v>61684.7446319839</v>
      </c>
      <c r="CW11" s="55">
        <v>72749.973832413103</v>
      </c>
      <c r="CX11" s="56">
        <v>241743.329658879</v>
      </c>
      <c r="CY11" s="57">
        <v>56109.630223526197</v>
      </c>
      <c r="CZ11" s="9" t="s">
        <v>14</v>
      </c>
    </row>
    <row r="12" spans="2:104" ht="15" customHeight="1" x14ac:dyDescent="0.2">
      <c r="B12" s="10" t="s">
        <v>15</v>
      </c>
      <c r="C12" s="58">
        <v>8657.0194991166209</v>
      </c>
      <c r="D12" s="59">
        <v>9152.5987747166</v>
      </c>
      <c r="E12" s="59">
        <v>9854.7507181541805</v>
      </c>
      <c r="F12" s="59">
        <v>11913.592023897099</v>
      </c>
      <c r="G12" s="60">
        <v>39577.961015884503</v>
      </c>
      <c r="H12" s="58">
        <v>9027.1907556937695</v>
      </c>
      <c r="I12" s="59">
        <v>10035.842728895201</v>
      </c>
      <c r="J12" s="59">
        <v>11162.006459759899</v>
      </c>
      <c r="K12" s="59">
        <v>13476.2906140833</v>
      </c>
      <c r="L12" s="60">
        <v>43701.330558432201</v>
      </c>
      <c r="M12" s="58">
        <v>10972.1008856809</v>
      </c>
      <c r="N12" s="59">
        <v>12012.024703176699</v>
      </c>
      <c r="O12" s="59">
        <v>13106.679245195901</v>
      </c>
      <c r="P12" s="59">
        <v>12733.233676538801</v>
      </c>
      <c r="Q12" s="60">
        <v>48824.038510592203</v>
      </c>
      <c r="R12" s="58">
        <v>10674.010024032001</v>
      </c>
      <c r="S12" s="59">
        <v>12001.70965126</v>
      </c>
      <c r="T12" s="59">
        <v>13548.134345006099</v>
      </c>
      <c r="U12" s="59">
        <v>15937.063904815999</v>
      </c>
      <c r="V12" s="60">
        <v>52160.917925114103</v>
      </c>
      <c r="W12" s="58">
        <v>13198.3813819856</v>
      </c>
      <c r="X12" s="59">
        <v>13283.398913568</v>
      </c>
      <c r="Y12" s="59">
        <v>14355.5019813324</v>
      </c>
      <c r="Z12" s="59">
        <v>16669.401006656801</v>
      </c>
      <c r="AA12" s="60">
        <v>57506.683283542799</v>
      </c>
      <c r="AB12" s="58">
        <v>13753.8898546196</v>
      </c>
      <c r="AC12" s="59">
        <v>14640.419737174099</v>
      </c>
      <c r="AD12" s="59">
        <v>15934.197633445699</v>
      </c>
      <c r="AE12" s="59">
        <v>18915.287533698898</v>
      </c>
      <c r="AF12" s="60">
        <v>63243.794758938202</v>
      </c>
      <c r="AG12" s="58">
        <v>13915.004740936</v>
      </c>
      <c r="AH12" s="59">
        <v>15465.6250294031</v>
      </c>
      <c r="AI12" s="59">
        <v>16942.327676684501</v>
      </c>
      <c r="AJ12" s="59">
        <v>22699.613273212701</v>
      </c>
      <c r="AK12" s="60">
        <v>69022.570720236399</v>
      </c>
      <c r="AL12" s="58">
        <v>15341.642842179001</v>
      </c>
      <c r="AM12" s="59">
        <v>17938.558616608501</v>
      </c>
      <c r="AN12" s="59">
        <v>19017.966020791999</v>
      </c>
      <c r="AO12" s="59">
        <v>26045.357096196702</v>
      </c>
      <c r="AP12" s="60">
        <v>78343.524575776202</v>
      </c>
      <c r="AQ12" s="58">
        <v>17744.880208750099</v>
      </c>
      <c r="AR12" s="59">
        <v>19632.569835706101</v>
      </c>
      <c r="AS12" s="59">
        <v>23034.920174093098</v>
      </c>
      <c r="AT12" s="59">
        <v>28959.759408158399</v>
      </c>
      <c r="AU12" s="60">
        <v>89372.129626707698</v>
      </c>
      <c r="AV12" s="58">
        <v>19220.120760055899</v>
      </c>
      <c r="AW12" s="59">
        <v>22370.3516987527</v>
      </c>
      <c r="AX12" s="59">
        <v>23840.342527692599</v>
      </c>
      <c r="AY12" s="59">
        <v>31269.602653127298</v>
      </c>
      <c r="AZ12" s="60">
        <v>96700.417639628402</v>
      </c>
      <c r="BA12" s="58">
        <v>22083.065978621002</v>
      </c>
      <c r="BB12" s="59">
        <v>23805.932339982301</v>
      </c>
      <c r="BC12" s="59">
        <v>25015.555338646602</v>
      </c>
      <c r="BD12" s="59">
        <v>29214.887788675202</v>
      </c>
      <c r="BE12" s="60">
        <v>100119.441445925</v>
      </c>
      <c r="BF12" s="58">
        <v>21890.116857595902</v>
      </c>
      <c r="BG12" s="59">
        <v>25233.7677778709</v>
      </c>
      <c r="BH12" s="59">
        <v>26313.442346054799</v>
      </c>
      <c r="BI12" s="59">
        <v>33337.504445341001</v>
      </c>
      <c r="BJ12" s="60">
        <v>106774.83142686301</v>
      </c>
      <c r="BK12" s="58">
        <v>24156.625387558401</v>
      </c>
      <c r="BL12" s="59">
        <v>26877.530468327401</v>
      </c>
      <c r="BM12" s="59">
        <v>28447.386639798598</v>
      </c>
      <c r="BN12" s="59">
        <v>33588.651403382602</v>
      </c>
      <c r="BO12" s="60">
        <v>113070.193899067</v>
      </c>
      <c r="BP12" s="58">
        <v>24196.5417101618</v>
      </c>
      <c r="BQ12" s="59">
        <v>28348.634896700201</v>
      </c>
      <c r="BR12" s="59">
        <v>29841.121791970301</v>
      </c>
      <c r="BS12" s="59">
        <v>36975.768325358302</v>
      </c>
      <c r="BT12" s="60">
        <v>119362.066724191</v>
      </c>
      <c r="BU12" s="58">
        <v>27191.0264755348</v>
      </c>
      <c r="BV12" s="59">
        <v>30692.453824415101</v>
      </c>
      <c r="BW12" s="59">
        <v>34343.959354886603</v>
      </c>
      <c r="BX12" s="59">
        <v>53077.916083007702</v>
      </c>
      <c r="BY12" s="60">
        <v>145305.35573784399</v>
      </c>
      <c r="BZ12" s="58">
        <v>31289.437637009101</v>
      </c>
      <c r="CA12" s="59">
        <v>33338.073910250001</v>
      </c>
      <c r="CB12" s="59">
        <v>37663.087980788303</v>
      </c>
      <c r="CC12" s="59">
        <v>47944.380456188002</v>
      </c>
      <c r="CD12" s="60">
        <v>150234.97998423499</v>
      </c>
      <c r="CE12" s="58">
        <v>31147.832061710102</v>
      </c>
      <c r="CF12" s="59">
        <v>35545.161740404299</v>
      </c>
      <c r="CG12" s="59">
        <v>38089.3346671119</v>
      </c>
      <c r="CH12" s="59">
        <v>44842.320454127599</v>
      </c>
      <c r="CI12" s="60">
        <v>149624.64892335399</v>
      </c>
      <c r="CJ12" s="58">
        <v>33467.9987762971</v>
      </c>
      <c r="CK12" s="59">
        <v>36689.8510353612</v>
      </c>
      <c r="CL12" s="59">
        <v>38425.7361633662</v>
      </c>
      <c r="CM12" s="59">
        <v>47829.0782240302</v>
      </c>
      <c r="CN12" s="60">
        <v>156412.664199055</v>
      </c>
      <c r="CO12" s="58">
        <v>34941.994012567098</v>
      </c>
      <c r="CP12" s="59">
        <v>38950.044022956397</v>
      </c>
      <c r="CQ12" s="59">
        <v>40748.313588828998</v>
      </c>
      <c r="CR12" s="59">
        <v>47809.3674017991</v>
      </c>
      <c r="CS12" s="60">
        <v>162449.71902615199</v>
      </c>
      <c r="CT12" s="58">
        <v>38054.049165826502</v>
      </c>
      <c r="CU12" s="59">
        <v>41478.557158436503</v>
      </c>
      <c r="CV12" s="59">
        <v>43913.461318699301</v>
      </c>
      <c r="CW12" s="59">
        <v>50247.013766867101</v>
      </c>
      <c r="CX12" s="60">
        <v>173693.081409829</v>
      </c>
      <c r="CY12" s="61">
        <v>42883.391074434199</v>
      </c>
      <c r="CZ12" s="11" t="s">
        <v>16</v>
      </c>
    </row>
    <row r="13" spans="2:104" ht="15" customHeight="1" x14ac:dyDescent="0.2">
      <c r="B13" s="10" t="s">
        <v>17</v>
      </c>
      <c r="C13" s="58">
        <v>1152.2450586417301</v>
      </c>
      <c r="D13" s="59">
        <v>1766.0855370285999</v>
      </c>
      <c r="E13" s="59">
        <v>2401.09521033703</v>
      </c>
      <c r="F13" s="59">
        <v>3949.56593562645</v>
      </c>
      <c r="G13" s="60">
        <v>9268.9917416337994</v>
      </c>
      <c r="H13" s="58">
        <v>1218.37123190238</v>
      </c>
      <c r="I13" s="59">
        <v>1993.1112783056701</v>
      </c>
      <c r="J13" s="59">
        <v>2828.1592816633201</v>
      </c>
      <c r="K13" s="59">
        <v>5035.7419549185897</v>
      </c>
      <c r="L13" s="60">
        <v>11075.383746789999</v>
      </c>
      <c r="M13" s="58">
        <v>1953.29501900728</v>
      </c>
      <c r="N13" s="59">
        <v>3211.35848925968</v>
      </c>
      <c r="O13" s="59">
        <v>4069.2621660454902</v>
      </c>
      <c r="P13" s="59">
        <v>6319.3154257323304</v>
      </c>
      <c r="Q13" s="60">
        <v>15553.231100044801</v>
      </c>
      <c r="R13" s="58">
        <v>2738.1313466575002</v>
      </c>
      <c r="S13" s="59">
        <v>4064.3390133175099</v>
      </c>
      <c r="T13" s="59">
        <v>5290.9894094174997</v>
      </c>
      <c r="U13" s="59">
        <v>9381.42464799751</v>
      </c>
      <c r="V13" s="60">
        <v>21474.88441739</v>
      </c>
      <c r="W13" s="58">
        <v>3473.8792201599999</v>
      </c>
      <c r="X13" s="59">
        <v>6118.0406290600104</v>
      </c>
      <c r="Y13" s="59">
        <v>6559.4329056299903</v>
      </c>
      <c r="Z13" s="59">
        <v>9914.5319655400199</v>
      </c>
      <c r="AA13" s="60">
        <v>26065.88472039</v>
      </c>
      <c r="AB13" s="58">
        <v>2760.31588039999</v>
      </c>
      <c r="AC13" s="59">
        <v>5301.2884213999896</v>
      </c>
      <c r="AD13" s="59">
        <v>5325.2839191099902</v>
      </c>
      <c r="AE13" s="59">
        <v>10963.14829065</v>
      </c>
      <c r="AF13" s="60">
        <v>24350.03651156</v>
      </c>
      <c r="AG13" s="58">
        <v>3859.8960572978799</v>
      </c>
      <c r="AH13" s="59">
        <v>5501.5271836578704</v>
      </c>
      <c r="AI13" s="59">
        <v>6968.9143928178701</v>
      </c>
      <c r="AJ13" s="59">
        <v>12543.1180279379</v>
      </c>
      <c r="AK13" s="60">
        <v>28873.455661711501</v>
      </c>
      <c r="AL13" s="58">
        <v>4370.7759275259596</v>
      </c>
      <c r="AM13" s="59">
        <v>7248.8404051400003</v>
      </c>
      <c r="AN13" s="59">
        <v>8466.5972979800008</v>
      </c>
      <c r="AO13" s="59">
        <v>13354.094912930001</v>
      </c>
      <c r="AP13" s="60">
        <v>33440.308543576</v>
      </c>
      <c r="AQ13" s="58">
        <v>5018.5956490899998</v>
      </c>
      <c r="AR13" s="59">
        <v>7101.1084374800002</v>
      </c>
      <c r="AS13" s="59">
        <v>8890.6786701300007</v>
      </c>
      <c r="AT13" s="59">
        <v>13401.0070976364</v>
      </c>
      <c r="AU13" s="60">
        <v>34411.389854336398</v>
      </c>
      <c r="AV13" s="58">
        <v>4328.7575447880999</v>
      </c>
      <c r="AW13" s="59">
        <v>6805.0277708324502</v>
      </c>
      <c r="AX13" s="59">
        <v>7942.3477945094701</v>
      </c>
      <c r="AY13" s="59">
        <v>14114.8136680071</v>
      </c>
      <c r="AZ13" s="60">
        <v>33190.946778137099</v>
      </c>
      <c r="BA13" s="58">
        <v>4907.4667469982696</v>
      </c>
      <c r="BB13" s="59">
        <v>6768.8453311825697</v>
      </c>
      <c r="BC13" s="59">
        <v>7955.4587177429503</v>
      </c>
      <c r="BD13" s="59">
        <v>11037.6561291245</v>
      </c>
      <c r="BE13" s="60">
        <v>30669.426925048301</v>
      </c>
      <c r="BF13" s="58">
        <v>5510.9986684164296</v>
      </c>
      <c r="BG13" s="59">
        <v>6589.7469554710697</v>
      </c>
      <c r="BH13" s="59">
        <v>8637.0000853210095</v>
      </c>
      <c r="BI13" s="59">
        <v>12309.368669936001</v>
      </c>
      <c r="BJ13" s="60">
        <v>33047.114379144499</v>
      </c>
      <c r="BK13" s="58">
        <v>5105.3083808671699</v>
      </c>
      <c r="BL13" s="59">
        <v>7587.9635402439499</v>
      </c>
      <c r="BM13" s="59">
        <v>8733.0196026469803</v>
      </c>
      <c r="BN13" s="59">
        <v>14713.602464541</v>
      </c>
      <c r="BO13" s="60">
        <v>36139.893988299104</v>
      </c>
      <c r="BP13" s="58">
        <v>4369.4428840550299</v>
      </c>
      <c r="BQ13" s="59">
        <v>8182.7522083783597</v>
      </c>
      <c r="BR13" s="59">
        <v>9017.2948628113099</v>
      </c>
      <c r="BS13" s="59">
        <v>13453.2545428427</v>
      </c>
      <c r="BT13" s="60">
        <v>35022.744498087399</v>
      </c>
      <c r="BU13" s="58">
        <v>5489.4834473736</v>
      </c>
      <c r="BV13" s="59">
        <v>2698.4031637519201</v>
      </c>
      <c r="BW13" s="59">
        <v>8025.6393410929304</v>
      </c>
      <c r="BX13" s="59">
        <v>16023.0311051095</v>
      </c>
      <c r="BY13" s="60">
        <v>32236.5570573279</v>
      </c>
      <c r="BZ13" s="58">
        <v>8281.5431162484492</v>
      </c>
      <c r="CA13" s="59">
        <v>9400.0614640203003</v>
      </c>
      <c r="CB13" s="59">
        <v>10263.845877071701</v>
      </c>
      <c r="CC13" s="59">
        <v>16019.8227631513</v>
      </c>
      <c r="CD13" s="60">
        <v>43965.273220491799</v>
      </c>
      <c r="CE13" s="58">
        <v>7936.2971610225604</v>
      </c>
      <c r="CF13" s="59">
        <v>11035.5514137589</v>
      </c>
      <c r="CG13" s="59">
        <v>13619.107599297</v>
      </c>
      <c r="CH13" s="59">
        <v>24318.915996525899</v>
      </c>
      <c r="CI13" s="60">
        <v>56909.872170604402</v>
      </c>
      <c r="CJ13" s="58">
        <v>9074.7528188433498</v>
      </c>
      <c r="CK13" s="59">
        <v>11638.447437090001</v>
      </c>
      <c r="CL13" s="59">
        <v>11919.783424822799</v>
      </c>
      <c r="CM13" s="59">
        <v>20281.805395175299</v>
      </c>
      <c r="CN13" s="60">
        <v>52914.789075931403</v>
      </c>
      <c r="CO13" s="58">
        <v>11368.116435542101</v>
      </c>
      <c r="CP13" s="59">
        <v>13627.5636602914</v>
      </c>
      <c r="CQ13" s="59">
        <v>21385.3599778959</v>
      </c>
      <c r="CR13" s="59">
        <v>20993.572472403401</v>
      </c>
      <c r="CS13" s="60">
        <v>67374.612546132805</v>
      </c>
      <c r="CT13" s="58">
        <v>13241.9975361009</v>
      </c>
      <c r="CU13" s="59">
        <v>14534.0073341183</v>
      </c>
      <c r="CV13" s="59">
        <v>17771.283313284399</v>
      </c>
      <c r="CW13" s="59">
        <v>22502.9600655459</v>
      </c>
      <c r="CX13" s="60">
        <v>68050.248249049604</v>
      </c>
      <c r="CY13" s="61">
        <v>13226.239149092</v>
      </c>
      <c r="CZ13" s="11" t="s">
        <v>17</v>
      </c>
    </row>
    <row r="14" spans="2:104" ht="15" customHeight="1" x14ac:dyDescent="0.2">
      <c r="B14" s="13" t="s">
        <v>18</v>
      </c>
      <c r="C14" s="66">
        <v>1108.4125039017299</v>
      </c>
      <c r="D14" s="67">
        <v>1679.4413078386001</v>
      </c>
      <c r="E14" s="67">
        <v>2057.2665912470302</v>
      </c>
      <c r="F14" s="67">
        <v>3734.7968364264502</v>
      </c>
      <c r="G14" s="68">
        <v>8579.9172394138004</v>
      </c>
      <c r="H14" s="66">
        <v>1159.9415059620801</v>
      </c>
      <c r="I14" s="67">
        <v>1886.2444257694699</v>
      </c>
      <c r="J14" s="67">
        <v>2452.7648201127099</v>
      </c>
      <c r="K14" s="67">
        <v>4867.2839691011905</v>
      </c>
      <c r="L14" s="68">
        <v>10366.2347209455</v>
      </c>
      <c r="M14" s="66">
        <v>1855.57485315808</v>
      </c>
      <c r="N14" s="67">
        <v>3026.4228018246799</v>
      </c>
      <c r="O14" s="67">
        <v>3729.2248646104799</v>
      </c>
      <c r="P14" s="67">
        <v>5941.0623860773203</v>
      </c>
      <c r="Q14" s="68">
        <v>14552.2849056706</v>
      </c>
      <c r="R14" s="66">
        <v>2501.1607072175002</v>
      </c>
      <c r="S14" s="67">
        <v>3460.9177381475101</v>
      </c>
      <c r="T14" s="67">
        <v>4775.4616685874998</v>
      </c>
      <c r="U14" s="67">
        <v>8297.5157811875106</v>
      </c>
      <c r="V14" s="68">
        <v>19035.055895140002</v>
      </c>
      <c r="W14" s="66">
        <v>2924.0963791499998</v>
      </c>
      <c r="X14" s="67">
        <v>5153.7415950500099</v>
      </c>
      <c r="Y14" s="67">
        <v>6003.7651816499902</v>
      </c>
      <c r="Z14" s="67">
        <v>8845.5896809300193</v>
      </c>
      <c r="AA14" s="68">
        <v>22927.192836779999</v>
      </c>
      <c r="AB14" s="66">
        <v>2470.9125924499999</v>
      </c>
      <c r="AC14" s="67">
        <v>3742.1032071699901</v>
      </c>
      <c r="AD14" s="67">
        <v>4822.6733083499903</v>
      </c>
      <c r="AE14" s="67">
        <v>10080.48496672</v>
      </c>
      <c r="AF14" s="68">
        <v>21116.17407469</v>
      </c>
      <c r="AG14" s="66">
        <v>3606.8178679678799</v>
      </c>
      <c r="AH14" s="67">
        <v>4986.9067384078699</v>
      </c>
      <c r="AI14" s="67">
        <v>6316.54087418787</v>
      </c>
      <c r="AJ14" s="67">
        <v>11508.687939887899</v>
      </c>
      <c r="AK14" s="68">
        <v>26418.9534204515</v>
      </c>
      <c r="AL14" s="66">
        <v>4080.8168647259599</v>
      </c>
      <c r="AM14" s="67">
        <v>6375.4267622199995</v>
      </c>
      <c r="AN14" s="67">
        <v>7536.0024296299998</v>
      </c>
      <c r="AO14" s="67">
        <v>11783.167639159999</v>
      </c>
      <c r="AP14" s="68">
        <v>29775.413695735999</v>
      </c>
      <c r="AQ14" s="66">
        <v>4624.6026524400004</v>
      </c>
      <c r="AR14" s="67">
        <v>6195.4887154600001</v>
      </c>
      <c r="AS14" s="67">
        <v>7484.7259439700001</v>
      </c>
      <c r="AT14" s="67">
        <v>11355.471031826801</v>
      </c>
      <c r="AU14" s="68">
        <v>29660.2883436968</v>
      </c>
      <c r="AV14" s="66">
        <v>3402.1792684950201</v>
      </c>
      <c r="AW14" s="67">
        <v>5372.46327413982</v>
      </c>
      <c r="AX14" s="67">
        <v>6692.4391086107098</v>
      </c>
      <c r="AY14" s="67">
        <v>11703.896319919801</v>
      </c>
      <c r="AZ14" s="68">
        <v>27170.977971165299</v>
      </c>
      <c r="BA14" s="66">
        <v>4174.8731850228296</v>
      </c>
      <c r="BB14" s="67">
        <v>5963.98161943385</v>
      </c>
      <c r="BC14" s="67">
        <v>6838.0356861810897</v>
      </c>
      <c r="BD14" s="67">
        <v>10286.5133693968</v>
      </c>
      <c r="BE14" s="68">
        <v>27263.403860034599</v>
      </c>
      <c r="BF14" s="66">
        <v>3795.2983706251398</v>
      </c>
      <c r="BG14" s="67">
        <v>5733.2286242261998</v>
      </c>
      <c r="BH14" s="67">
        <v>7757.1665402062699</v>
      </c>
      <c r="BI14" s="67">
        <v>11078.202503234501</v>
      </c>
      <c r="BJ14" s="68">
        <v>28363.8960382921</v>
      </c>
      <c r="BK14" s="66">
        <v>4382.9666297632202</v>
      </c>
      <c r="BL14" s="67">
        <v>6443.2890772365299</v>
      </c>
      <c r="BM14" s="67">
        <v>7657.5001601130898</v>
      </c>
      <c r="BN14" s="67">
        <v>12864.562101600301</v>
      </c>
      <c r="BO14" s="68">
        <v>31348.317968713101</v>
      </c>
      <c r="BP14" s="66">
        <v>3909.8673959110101</v>
      </c>
      <c r="BQ14" s="67">
        <v>7225.0520612267601</v>
      </c>
      <c r="BR14" s="67">
        <v>7490.43521363743</v>
      </c>
      <c r="BS14" s="67">
        <v>11814.602235103401</v>
      </c>
      <c r="BT14" s="68">
        <v>30439.9569058786</v>
      </c>
      <c r="BU14" s="66">
        <v>4479.9963231368401</v>
      </c>
      <c r="BV14" s="67">
        <v>1968.6327321819199</v>
      </c>
      <c r="BW14" s="67">
        <v>5818.0978999911904</v>
      </c>
      <c r="BX14" s="67">
        <v>14808.7999437042</v>
      </c>
      <c r="BY14" s="68">
        <v>27075.526899014199</v>
      </c>
      <c r="BZ14" s="66">
        <v>6367.21432406845</v>
      </c>
      <c r="CA14" s="67">
        <v>8220.1499344703006</v>
      </c>
      <c r="CB14" s="67">
        <v>9212.9265723772096</v>
      </c>
      <c r="CC14" s="67">
        <v>13067.015744051299</v>
      </c>
      <c r="CD14" s="68">
        <v>36867.306574967297</v>
      </c>
      <c r="CE14" s="66">
        <v>5868.9543693325604</v>
      </c>
      <c r="CF14" s="67">
        <v>9167.7035902289408</v>
      </c>
      <c r="CG14" s="67">
        <v>11482.559060797001</v>
      </c>
      <c r="CH14" s="67">
        <v>17284.9906302745</v>
      </c>
      <c r="CI14" s="68">
        <v>43804.207650632998</v>
      </c>
      <c r="CJ14" s="66">
        <v>6169.3994180733498</v>
      </c>
      <c r="CK14" s="67">
        <v>9978.7183089999708</v>
      </c>
      <c r="CL14" s="67">
        <v>11186.942466582799</v>
      </c>
      <c r="CM14" s="67">
        <v>18779.1301597846</v>
      </c>
      <c r="CN14" s="68">
        <v>46114.190353440703</v>
      </c>
      <c r="CO14" s="66">
        <v>9292.2194690024007</v>
      </c>
      <c r="CP14" s="67">
        <v>12023.5417109256</v>
      </c>
      <c r="CQ14" s="67">
        <v>13751.7147902381</v>
      </c>
      <c r="CR14" s="67">
        <v>19665.421360987901</v>
      </c>
      <c r="CS14" s="68">
        <v>54732.897331153901</v>
      </c>
      <c r="CT14" s="66">
        <v>10728.457577172099</v>
      </c>
      <c r="CU14" s="67">
        <v>12825.2541403259</v>
      </c>
      <c r="CV14" s="67">
        <v>14497.8048129584</v>
      </c>
      <c r="CW14" s="67">
        <v>20972.717295854702</v>
      </c>
      <c r="CX14" s="68">
        <v>59024.233826311203</v>
      </c>
      <c r="CY14" s="69">
        <v>10876.4422327134</v>
      </c>
      <c r="CZ14" s="14" t="s">
        <v>19</v>
      </c>
    </row>
    <row r="15" spans="2:104" ht="15" customHeight="1" x14ac:dyDescent="0.2">
      <c r="B15" s="15" t="s">
        <v>20</v>
      </c>
      <c r="C15" s="66">
        <v>371.332063212501</v>
      </c>
      <c r="D15" s="67">
        <v>700.08429276169898</v>
      </c>
      <c r="E15" s="67">
        <v>712.97881169749996</v>
      </c>
      <c r="F15" s="67">
        <v>1463.2498038121</v>
      </c>
      <c r="G15" s="68">
        <v>3247.6449714838</v>
      </c>
      <c r="H15" s="66">
        <v>384.18811005280998</v>
      </c>
      <c r="I15" s="67">
        <v>692.62597395073897</v>
      </c>
      <c r="J15" s="67">
        <v>882.94579079462005</v>
      </c>
      <c r="K15" s="67">
        <v>1982.23754721057</v>
      </c>
      <c r="L15" s="68">
        <v>3941.9974220087402</v>
      </c>
      <c r="M15" s="66">
        <v>659.55294634000097</v>
      </c>
      <c r="N15" s="67">
        <v>876.46977413100103</v>
      </c>
      <c r="O15" s="67">
        <v>1123.4570576599999</v>
      </c>
      <c r="P15" s="67">
        <v>1768.1118372200001</v>
      </c>
      <c r="Q15" s="68">
        <v>4427.5916153509997</v>
      </c>
      <c r="R15" s="66">
        <v>901.27245974750099</v>
      </c>
      <c r="S15" s="67">
        <v>1000.4427698975001</v>
      </c>
      <c r="T15" s="67">
        <v>1349.5987993475001</v>
      </c>
      <c r="U15" s="67">
        <v>2629.7475698974999</v>
      </c>
      <c r="V15" s="68">
        <v>5881.0615988900099</v>
      </c>
      <c r="W15" s="66">
        <v>979.43420058000095</v>
      </c>
      <c r="X15" s="67">
        <v>2052.94926179</v>
      </c>
      <c r="Y15" s="67">
        <v>1826.2286486800001</v>
      </c>
      <c r="Z15" s="67">
        <v>3123.1786759000001</v>
      </c>
      <c r="AA15" s="68">
        <v>7981.7907869500104</v>
      </c>
      <c r="AB15" s="66">
        <v>1350.0352119900001</v>
      </c>
      <c r="AC15" s="67">
        <v>1680.79990866</v>
      </c>
      <c r="AD15" s="67">
        <v>1835.4198085099999</v>
      </c>
      <c r="AE15" s="67">
        <v>3095.6958194899998</v>
      </c>
      <c r="AF15" s="68">
        <v>7961.9507486499897</v>
      </c>
      <c r="AG15" s="66">
        <v>918.185490177872</v>
      </c>
      <c r="AH15" s="67">
        <v>1466.90008539787</v>
      </c>
      <c r="AI15" s="67">
        <v>1785.95890283787</v>
      </c>
      <c r="AJ15" s="67">
        <v>3364.7943833978702</v>
      </c>
      <c r="AK15" s="68">
        <v>7535.8388618114896</v>
      </c>
      <c r="AL15" s="66">
        <v>1149.28192878596</v>
      </c>
      <c r="AM15" s="67">
        <v>1753.9097072100001</v>
      </c>
      <c r="AN15" s="67">
        <v>2181.6283945499999</v>
      </c>
      <c r="AO15" s="67">
        <v>3483.7268313499999</v>
      </c>
      <c r="AP15" s="68">
        <v>8568.5468618959603</v>
      </c>
      <c r="AQ15" s="66">
        <v>1350.9119480500001</v>
      </c>
      <c r="AR15" s="67">
        <v>1828.09906329</v>
      </c>
      <c r="AS15" s="67">
        <v>2189.2085844799999</v>
      </c>
      <c r="AT15" s="67">
        <v>4211.1604428220498</v>
      </c>
      <c r="AU15" s="68">
        <v>9579.3800386420498</v>
      </c>
      <c r="AV15" s="66">
        <v>1694.93892991501</v>
      </c>
      <c r="AW15" s="67">
        <v>2207.2618490598102</v>
      </c>
      <c r="AX15" s="67">
        <v>2503.49943453071</v>
      </c>
      <c r="AY15" s="67">
        <v>4408.0220942278302</v>
      </c>
      <c r="AZ15" s="68">
        <v>10813.7223077334</v>
      </c>
      <c r="BA15" s="66">
        <v>1686.6273881228201</v>
      </c>
      <c r="BB15" s="67">
        <v>2179.53075566386</v>
      </c>
      <c r="BC15" s="67">
        <v>2468.4822970210898</v>
      </c>
      <c r="BD15" s="67">
        <v>3578.5196089967799</v>
      </c>
      <c r="BE15" s="68">
        <v>9913.16004980455</v>
      </c>
      <c r="BF15" s="66">
        <v>1268.3894407251501</v>
      </c>
      <c r="BG15" s="67">
        <v>2030.06964137621</v>
      </c>
      <c r="BH15" s="67">
        <v>2695.1269658062802</v>
      </c>
      <c r="BI15" s="67">
        <v>4063.3909540351101</v>
      </c>
      <c r="BJ15" s="68">
        <v>10056.9770019427</v>
      </c>
      <c r="BK15" s="66">
        <v>1812.15365736231</v>
      </c>
      <c r="BL15" s="67">
        <v>2319.00890852778</v>
      </c>
      <c r="BM15" s="67">
        <v>2427.47894479657</v>
      </c>
      <c r="BN15" s="67">
        <v>4708.7016607864598</v>
      </c>
      <c r="BO15" s="68">
        <v>11267.3431714731</v>
      </c>
      <c r="BP15" s="66">
        <v>1592.1896858371699</v>
      </c>
      <c r="BQ15" s="67">
        <v>2650.7055584433501</v>
      </c>
      <c r="BR15" s="67">
        <v>2569.1635492263099</v>
      </c>
      <c r="BS15" s="67">
        <v>4805.20333626102</v>
      </c>
      <c r="BT15" s="68">
        <v>11617.2621297679</v>
      </c>
      <c r="BU15" s="66">
        <v>1626.5786225802599</v>
      </c>
      <c r="BV15" s="67">
        <v>869.079549501923</v>
      </c>
      <c r="BW15" s="67">
        <v>2013.89587150119</v>
      </c>
      <c r="BX15" s="67">
        <v>5311.2577785442099</v>
      </c>
      <c r="BY15" s="68">
        <v>9820.8118221275909</v>
      </c>
      <c r="BZ15" s="66">
        <v>2471.7116113084498</v>
      </c>
      <c r="CA15" s="67">
        <v>3370.0739967403001</v>
      </c>
      <c r="CB15" s="67">
        <v>3492.9171701272098</v>
      </c>
      <c r="CC15" s="67">
        <v>4749.23643426134</v>
      </c>
      <c r="CD15" s="68">
        <v>14083.939212437301</v>
      </c>
      <c r="CE15" s="66">
        <v>2165.75872787256</v>
      </c>
      <c r="CF15" s="67">
        <v>3324.90662680894</v>
      </c>
      <c r="CG15" s="67">
        <v>3747.3695669869999</v>
      </c>
      <c r="CH15" s="67">
        <v>5046.9731322344896</v>
      </c>
      <c r="CI15" s="68">
        <v>14285.008053903</v>
      </c>
      <c r="CJ15" s="66">
        <v>2960.3814245533499</v>
      </c>
      <c r="CK15" s="67">
        <v>3712.4500883399701</v>
      </c>
      <c r="CL15" s="67">
        <v>4291.1048366728401</v>
      </c>
      <c r="CM15" s="67">
        <v>6349.9565493246</v>
      </c>
      <c r="CN15" s="68">
        <v>17313.892898890801</v>
      </c>
      <c r="CO15" s="66">
        <v>4138.3837199424097</v>
      </c>
      <c r="CP15" s="67">
        <v>4485.0428918655498</v>
      </c>
      <c r="CQ15" s="67">
        <v>5365.7127691580999</v>
      </c>
      <c r="CR15" s="67">
        <v>8135.2133610378896</v>
      </c>
      <c r="CS15" s="68">
        <v>22124.352742003899</v>
      </c>
      <c r="CT15" s="66">
        <v>4942.8386188621398</v>
      </c>
      <c r="CU15" s="67">
        <v>4934.8451637459402</v>
      </c>
      <c r="CV15" s="67">
        <v>4620.7215891284304</v>
      </c>
      <c r="CW15" s="67">
        <v>7795.8933351747201</v>
      </c>
      <c r="CX15" s="68">
        <v>22294.298706911199</v>
      </c>
      <c r="CY15" s="69">
        <v>4130.4622168334499</v>
      </c>
      <c r="CZ15" s="16" t="s">
        <v>21</v>
      </c>
    </row>
    <row r="16" spans="2:104" ht="15" customHeight="1" x14ac:dyDescent="0.2">
      <c r="B16" s="15" t="s">
        <v>22</v>
      </c>
      <c r="C16" s="66">
        <v>118.82650681</v>
      </c>
      <c r="D16" s="67">
        <v>240.32137422</v>
      </c>
      <c r="E16" s="67">
        <v>341.50378439000002</v>
      </c>
      <c r="F16" s="67">
        <v>792.40560251000204</v>
      </c>
      <c r="G16" s="68">
        <v>1493.0572679300001</v>
      </c>
      <c r="H16" s="66">
        <v>161.45685757000001</v>
      </c>
      <c r="I16" s="67">
        <v>298.68361687999999</v>
      </c>
      <c r="J16" s="67">
        <v>459.95277930999998</v>
      </c>
      <c r="K16" s="67">
        <v>1241.58628271</v>
      </c>
      <c r="L16" s="68">
        <v>2161.6795364700001</v>
      </c>
      <c r="M16" s="66">
        <v>199.25058941</v>
      </c>
      <c r="N16" s="67">
        <v>542.59803429999999</v>
      </c>
      <c r="O16" s="67">
        <v>655.86231426000097</v>
      </c>
      <c r="P16" s="67">
        <v>1376.5619665199999</v>
      </c>
      <c r="Q16" s="68">
        <v>2774.2729044900002</v>
      </c>
      <c r="R16" s="66">
        <v>383.41917935999999</v>
      </c>
      <c r="S16" s="67">
        <v>754.86993098000005</v>
      </c>
      <c r="T16" s="67">
        <v>1048.4941423</v>
      </c>
      <c r="U16" s="67">
        <v>1772.92497162</v>
      </c>
      <c r="V16" s="68">
        <v>3959.70822426</v>
      </c>
      <c r="W16" s="66">
        <v>582.90093577000005</v>
      </c>
      <c r="X16" s="67">
        <v>1098.4711791499999</v>
      </c>
      <c r="Y16" s="67">
        <v>1389.5529844600001</v>
      </c>
      <c r="Z16" s="67">
        <v>1878.8983286</v>
      </c>
      <c r="AA16" s="68">
        <v>4949.8234279799999</v>
      </c>
      <c r="AB16" s="66">
        <v>556.53518115999998</v>
      </c>
      <c r="AC16" s="67">
        <v>791.72985808999999</v>
      </c>
      <c r="AD16" s="67">
        <v>1061.0219718400001</v>
      </c>
      <c r="AE16" s="67">
        <v>2252.39999739</v>
      </c>
      <c r="AF16" s="68">
        <v>4661.6870084800003</v>
      </c>
      <c r="AG16" s="66">
        <v>866.95286877000001</v>
      </c>
      <c r="AH16" s="67">
        <v>1229.4575407</v>
      </c>
      <c r="AI16" s="67">
        <v>1549.4280413500001</v>
      </c>
      <c r="AJ16" s="67">
        <v>3007.21318595</v>
      </c>
      <c r="AK16" s="68">
        <v>6653.0516367700002</v>
      </c>
      <c r="AL16" s="66">
        <v>1024.64246938</v>
      </c>
      <c r="AM16" s="67">
        <v>1675.85848607</v>
      </c>
      <c r="AN16" s="67">
        <v>1756.0834901799999</v>
      </c>
      <c r="AO16" s="67">
        <v>2663.1235602000002</v>
      </c>
      <c r="AP16" s="68">
        <v>7119.7080058299998</v>
      </c>
      <c r="AQ16" s="66">
        <v>1405.2184597</v>
      </c>
      <c r="AR16" s="67">
        <v>1325.85024666</v>
      </c>
      <c r="AS16" s="67">
        <v>1629.1328922</v>
      </c>
      <c r="AT16" s="67">
        <v>1901.3324040878799</v>
      </c>
      <c r="AU16" s="68">
        <v>6261.5340026478798</v>
      </c>
      <c r="AV16" s="66">
        <v>709.58778845999996</v>
      </c>
      <c r="AW16" s="67">
        <v>1131.3491435000001</v>
      </c>
      <c r="AX16" s="67">
        <v>1311.72081183</v>
      </c>
      <c r="AY16" s="67">
        <v>2534.1057433075798</v>
      </c>
      <c r="AZ16" s="68">
        <v>5686.7634870975799</v>
      </c>
      <c r="BA16" s="66">
        <v>780.15136557000005</v>
      </c>
      <c r="BB16" s="67">
        <v>1332.10710823</v>
      </c>
      <c r="BC16" s="67">
        <v>1421.3781144699999</v>
      </c>
      <c r="BD16" s="67">
        <v>2135.7179437999998</v>
      </c>
      <c r="BE16" s="68">
        <v>5669.3545320699996</v>
      </c>
      <c r="BF16" s="66">
        <v>758.16106634000005</v>
      </c>
      <c r="BG16" s="67">
        <v>1233.6372711199999</v>
      </c>
      <c r="BH16" s="67">
        <v>1485.6300934599999</v>
      </c>
      <c r="BI16" s="67">
        <v>2349.9111930424701</v>
      </c>
      <c r="BJ16" s="68">
        <v>5827.3396239624699</v>
      </c>
      <c r="BK16" s="66">
        <v>702.17864349000001</v>
      </c>
      <c r="BL16" s="67">
        <v>1402.61942776</v>
      </c>
      <c r="BM16" s="67">
        <v>1527.16294672</v>
      </c>
      <c r="BN16" s="67">
        <v>2611.3024990200001</v>
      </c>
      <c r="BO16" s="68">
        <v>6243.2635169900004</v>
      </c>
      <c r="BP16" s="66">
        <v>725.87072577000004</v>
      </c>
      <c r="BQ16" s="67">
        <v>1283.3773050699999</v>
      </c>
      <c r="BR16" s="67">
        <v>1537.39864033</v>
      </c>
      <c r="BS16" s="67">
        <v>2662.6171756200001</v>
      </c>
      <c r="BT16" s="68">
        <v>6209.2638467899997</v>
      </c>
      <c r="BU16" s="66">
        <v>905.10338007999997</v>
      </c>
      <c r="BV16" s="67">
        <v>392.47300903000001</v>
      </c>
      <c r="BW16" s="67">
        <v>1556.6507132199999</v>
      </c>
      <c r="BX16" s="67">
        <v>3116.4856325300002</v>
      </c>
      <c r="BY16" s="68">
        <v>5970.7127348599997</v>
      </c>
      <c r="BZ16" s="66">
        <v>1082.7199295</v>
      </c>
      <c r="CA16" s="67">
        <v>1613.6975882900001</v>
      </c>
      <c r="CB16" s="67">
        <v>1774.69644275</v>
      </c>
      <c r="CC16" s="67">
        <v>2609.7263171300001</v>
      </c>
      <c r="CD16" s="68">
        <v>7080.8402776700004</v>
      </c>
      <c r="CE16" s="66">
        <v>1106.67691842</v>
      </c>
      <c r="CF16" s="67">
        <v>1870.93209273</v>
      </c>
      <c r="CG16" s="67">
        <v>2413.3693814799999</v>
      </c>
      <c r="CH16" s="67">
        <v>3698.3086415299999</v>
      </c>
      <c r="CI16" s="68">
        <v>9089.2870341599992</v>
      </c>
      <c r="CJ16" s="66">
        <v>1190.61575795</v>
      </c>
      <c r="CK16" s="67">
        <v>2176.7575704800001</v>
      </c>
      <c r="CL16" s="67">
        <v>2464.3986831900002</v>
      </c>
      <c r="CM16" s="67">
        <v>4889.8548314099999</v>
      </c>
      <c r="CN16" s="68">
        <v>10721.626843030001</v>
      </c>
      <c r="CO16" s="66">
        <v>2221.6029867100001</v>
      </c>
      <c r="CP16" s="67">
        <v>3090.4625641399998</v>
      </c>
      <c r="CQ16" s="67">
        <v>3546.60109444</v>
      </c>
      <c r="CR16" s="67">
        <v>4681.9068211000003</v>
      </c>
      <c r="CS16" s="68">
        <v>13540.57346639</v>
      </c>
      <c r="CT16" s="66">
        <v>2425.0926003700001</v>
      </c>
      <c r="CU16" s="67">
        <v>3456.43884415</v>
      </c>
      <c r="CV16" s="67">
        <v>3879.6384586899999</v>
      </c>
      <c r="CW16" s="67">
        <v>4703.6190031599999</v>
      </c>
      <c r="CX16" s="68">
        <v>14464.78890637</v>
      </c>
      <c r="CY16" s="69">
        <v>3104.9805444899998</v>
      </c>
      <c r="CZ16" s="16" t="s">
        <v>23</v>
      </c>
    </row>
    <row r="17" spans="2:104" ht="15" customHeight="1" x14ac:dyDescent="0.2">
      <c r="B17" s="15" t="s">
        <v>24</v>
      </c>
      <c r="C17" s="66">
        <v>618.25393387922702</v>
      </c>
      <c r="D17" s="67">
        <v>739.03564085689902</v>
      </c>
      <c r="E17" s="67">
        <v>1002.78399515953</v>
      </c>
      <c r="F17" s="67">
        <v>1479.1414301043501</v>
      </c>
      <c r="G17" s="68">
        <v>3839.2150000000001</v>
      </c>
      <c r="H17" s="66">
        <v>614.29653833927296</v>
      </c>
      <c r="I17" s="67">
        <v>894.934834938726</v>
      </c>
      <c r="J17" s="67">
        <v>1109.8662500081</v>
      </c>
      <c r="K17" s="67">
        <v>1643.46013918061</v>
      </c>
      <c r="L17" s="68">
        <v>4262.5577624667003</v>
      </c>
      <c r="M17" s="66">
        <v>996.77131740808397</v>
      </c>
      <c r="N17" s="67">
        <v>1607.3549933936799</v>
      </c>
      <c r="O17" s="67">
        <v>1949.9054926904801</v>
      </c>
      <c r="P17" s="67">
        <v>2796.3885823373298</v>
      </c>
      <c r="Q17" s="68">
        <v>7350.4203858295796</v>
      </c>
      <c r="R17" s="66">
        <v>1216.4690681100001</v>
      </c>
      <c r="S17" s="67">
        <v>1705.6050372699999</v>
      </c>
      <c r="T17" s="67">
        <v>2377.3687269400002</v>
      </c>
      <c r="U17" s="67">
        <v>3894.84323967001</v>
      </c>
      <c r="V17" s="68">
        <v>9194.2860719900109</v>
      </c>
      <c r="W17" s="66">
        <v>1361.7612428</v>
      </c>
      <c r="X17" s="67">
        <v>2002.32115411</v>
      </c>
      <c r="Y17" s="67">
        <v>2787.9835485099902</v>
      </c>
      <c r="Z17" s="67">
        <v>3843.5126764300198</v>
      </c>
      <c r="AA17" s="68">
        <v>9995.5786218500107</v>
      </c>
      <c r="AB17" s="66">
        <v>564.34219929999995</v>
      </c>
      <c r="AC17" s="67">
        <v>1269.57344042</v>
      </c>
      <c r="AD17" s="67">
        <v>1926.231528</v>
      </c>
      <c r="AE17" s="67">
        <v>4732.3891498399998</v>
      </c>
      <c r="AF17" s="68">
        <v>8492.5363175599996</v>
      </c>
      <c r="AG17" s="66">
        <v>1821.6795090200001</v>
      </c>
      <c r="AH17" s="67">
        <v>2290.5491123100001</v>
      </c>
      <c r="AI17" s="67">
        <v>2981.1539299999999</v>
      </c>
      <c r="AJ17" s="67">
        <v>5136.6803705399998</v>
      </c>
      <c r="AK17" s="68">
        <v>12230.06292187</v>
      </c>
      <c r="AL17" s="66">
        <v>1906.89246656</v>
      </c>
      <c r="AM17" s="67">
        <v>2945.6585689399999</v>
      </c>
      <c r="AN17" s="67">
        <v>3598.2905449</v>
      </c>
      <c r="AO17" s="67">
        <v>5636.3172476099999</v>
      </c>
      <c r="AP17" s="68">
        <v>14087.15882801</v>
      </c>
      <c r="AQ17" s="66">
        <v>1868.47224469</v>
      </c>
      <c r="AR17" s="67">
        <v>3041.5394055100001</v>
      </c>
      <c r="AS17" s="67">
        <v>3666.38446729</v>
      </c>
      <c r="AT17" s="67">
        <v>5242.9781849168403</v>
      </c>
      <c r="AU17" s="68">
        <v>13819.374302406801</v>
      </c>
      <c r="AV17" s="66">
        <v>997.65255012</v>
      </c>
      <c r="AW17" s="67">
        <v>2033.85228158</v>
      </c>
      <c r="AX17" s="67">
        <v>2877.2188622499998</v>
      </c>
      <c r="AY17" s="67">
        <v>4761.7684823843902</v>
      </c>
      <c r="AZ17" s="68">
        <v>10670.492176334399</v>
      </c>
      <c r="BA17" s="66">
        <v>1708.0944313299999</v>
      </c>
      <c r="BB17" s="67">
        <v>2452.3437555400001</v>
      </c>
      <c r="BC17" s="67">
        <v>2948.1752746900002</v>
      </c>
      <c r="BD17" s="67">
        <v>4572.2758166000003</v>
      </c>
      <c r="BE17" s="68">
        <v>11680.889278160001</v>
      </c>
      <c r="BF17" s="66">
        <v>1768.74786356</v>
      </c>
      <c r="BG17" s="67">
        <v>2469.5217117299999</v>
      </c>
      <c r="BH17" s="67">
        <v>3576.4094809399999</v>
      </c>
      <c r="BI17" s="67">
        <v>4664.9003561569098</v>
      </c>
      <c r="BJ17" s="68">
        <v>12479.5794123869</v>
      </c>
      <c r="BK17" s="66">
        <v>1868.63432891091</v>
      </c>
      <c r="BL17" s="67">
        <v>2721.6607409487501</v>
      </c>
      <c r="BM17" s="67">
        <v>3702.8582685965198</v>
      </c>
      <c r="BN17" s="67">
        <v>5544.5579417938197</v>
      </c>
      <c r="BO17" s="68">
        <v>13837.71128025</v>
      </c>
      <c r="BP17" s="66">
        <v>1591.80698430384</v>
      </c>
      <c r="BQ17" s="67">
        <v>3290.9691977134098</v>
      </c>
      <c r="BR17" s="67">
        <v>3383.8730240811201</v>
      </c>
      <c r="BS17" s="67">
        <v>4346.7817232223597</v>
      </c>
      <c r="BT17" s="68">
        <v>12613.430929320701</v>
      </c>
      <c r="BU17" s="66">
        <v>1948.31432047658</v>
      </c>
      <c r="BV17" s="67">
        <v>707.08017365000001</v>
      </c>
      <c r="BW17" s="67">
        <v>2247.55131527</v>
      </c>
      <c r="BX17" s="67">
        <v>6381.0565326300002</v>
      </c>
      <c r="BY17" s="68">
        <v>11284.002342026601</v>
      </c>
      <c r="BZ17" s="66">
        <v>2812.7827832600001</v>
      </c>
      <c r="CA17" s="67">
        <v>3236.37834944</v>
      </c>
      <c r="CB17" s="67">
        <v>3945.3129595</v>
      </c>
      <c r="CC17" s="67">
        <v>5708.0529926600002</v>
      </c>
      <c r="CD17" s="68">
        <v>15702.527084859999</v>
      </c>
      <c r="CE17" s="66">
        <v>2596.5187230400002</v>
      </c>
      <c r="CF17" s="67">
        <v>3971.8648706899999</v>
      </c>
      <c r="CG17" s="67">
        <v>5321.8201123299996</v>
      </c>
      <c r="CH17" s="67">
        <v>8539.7088565100003</v>
      </c>
      <c r="CI17" s="68">
        <v>20429.91256257</v>
      </c>
      <c r="CJ17" s="66">
        <v>2018.4022355699999</v>
      </c>
      <c r="CK17" s="67">
        <v>4089.5106501800001</v>
      </c>
      <c r="CL17" s="67">
        <v>4431.4389467199999</v>
      </c>
      <c r="CM17" s="67">
        <v>7539.3187790499996</v>
      </c>
      <c r="CN17" s="68">
        <v>18078.67061152</v>
      </c>
      <c r="CO17" s="66">
        <v>2932.23276235</v>
      </c>
      <c r="CP17" s="67">
        <v>4448.0362549199999</v>
      </c>
      <c r="CQ17" s="67">
        <v>4839.4009266399999</v>
      </c>
      <c r="CR17" s="67">
        <v>6848.3011788499998</v>
      </c>
      <c r="CS17" s="68">
        <v>19067.971122759998</v>
      </c>
      <c r="CT17" s="66">
        <v>3360.5263579399998</v>
      </c>
      <c r="CU17" s="67">
        <v>4433.9701324300004</v>
      </c>
      <c r="CV17" s="67">
        <v>5997.4447651399996</v>
      </c>
      <c r="CW17" s="67">
        <v>8473.2049575199999</v>
      </c>
      <c r="CX17" s="68">
        <v>22265.146213029999</v>
      </c>
      <c r="CY17" s="69">
        <v>3640.9994713900001</v>
      </c>
      <c r="CZ17" s="16" t="s">
        <v>25</v>
      </c>
    </row>
    <row r="18" spans="2:104" ht="15" customHeight="1" x14ac:dyDescent="0.2">
      <c r="B18" s="13" t="s">
        <v>26</v>
      </c>
      <c r="C18" s="66">
        <v>43.832554739999999</v>
      </c>
      <c r="D18" s="67">
        <v>86.644229190000004</v>
      </c>
      <c r="E18" s="67">
        <v>343.82861909000002</v>
      </c>
      <c r="F18" s="67">
        <v>214.7690992</v>
      </c>
      <c r="G18" s="68">
        <v>689.07450222</v>
      </c>
      <c r="H18" s="66">
        <v>58.429725940300003</v>
      </c>
      <c r="I18" s="67">
        <v>106.8668525362</v>
      </c>
      <c r="J18" s="67">
        <v>375.3944615506</v>
      </c>
      <c r="K18" s="67">
        <v>168.45798581739999</v>
      </c>
      <c r="L18" s="68">
        <v>709.14902584449999</v>
      </c>
      <c r="M18" s="66">
        <v>97.7201658492001</v>
      </c>
      <c r="N18" s="67">
        <v>184.93568743500001</v>
      </c>
      <c r="O18" s="67">
        <v>340.03730143500098</v>
      </c>
      <c r="P18" s="67">
        <v>378.25303965500098</v>
      </c>
      <c r="Q18" s="68">
        <v>1000.9461943742</v>
      </c>
      <c r="R18" s="66">
        <v>236.97063944000001</v>
      </c>
      <c r="S18" s="67">
        <v>603.42127516999994</v>
      </c>
      <c r="T18" s="67">
        <v>515.52774082999997</v>
      </c>
      <c r="U18" s="67">
        <v>1083.9088668100001</v>
      </c>
      <c r="V18" s="68">
        <v>2439.8285222499999</v>
      </c>
      <c r="W18" s="66">
        <v>549.78284100999997</v>
      </c>
      <c r="X18" s="67">
        <v>964.29903401000001</v>
      </c>
      <c r="Y18" s="67">
        <v>555.66772398000001</v>
      </c>
      <c r="Z18" s="67">
        <v>1068.9422846099999</v>
      </c>
      <c r="AA18" s="68">
        <v>3138.6918836099999</v>
      </c>
      <c r="AB18" s="66">
        <v>289.40328794999999</v>
      </c>
      <c r="AC18" s="67">
        <v>1559.1852142299999</v>
      </c>
      <c r="AD18" s="67">
        <v>502.61061075999999</v>
      </c>
      <c r="AE18" s="67">
        <v>882.66332393000005</v>
      </c>
      <c r="AF18" s="68">
        <v>3233.8624368699998</v>
      </c>
      <c r="AG18" s="66">
        <v>253.07818932999999</v>
      </c>
      <c r="AH18" s="67">
        <v>514.62044524999999</v>
      </c>
      <c r="AI18" s="67">
        <v>652.37351863000004</v>
      </c>
      <c r="AJ18" s="67">
        <v>1034.43008805</v>
      </c>
      <c r="AK18" s="68">
        <v>2454.5022412600001</v>
      </c>
      <c r="AL18" s="66">
        <v>289.95906280000003</v>
      </c>
      <c r="AM18" s="67">
        <v>873.41364292000003</v>
      </c>
      <c r="AN18" s="67">
        <v>930.59486834999996</v>
      </c>
      <c r="AO18" s="67">
        <v>1570.9272737700001</v>
      </c>
      <c r="AP18" s="68">
        <v>3664.8948478399998</v>
      </c>
      <c r="AQ18" s="66">
        <v>393.99299665000001</v>
      </c>
      <c r="AR18" s="67">
        <v>905.61972202000004</v>
      </c>
      <c r="AS18" s="67">
        <v>1405.9527261600001</v>
      </c>
      <c r="AT18" s="67">
        <v>2045.5360658095999</v>
      </c>
      <c r="AU18" s="68">
        <v>4751.1015106395998</v>
      </c>
      <c r="AV18" s="66">
        <v>926.57827629309099</v>
      </c>
      <c r="AW18" s="67">
        <v>1432.56449669265</v>
      </c>
      <c r="AX18" s="67">
        <v>1249.90868589876</v>
      </c>
      <c r="AY18" s="67">
        <v>2410.9173480872801</v>
      </c>
      <c r="AZ18" s="68">
        <v>6019.9688069717804</v>
      </c>
      <c r="BA18" s="66">
        <v>732.593561975444</v>
      </c>
      <c r="BB18" s="67">
        <v>804.86371174870897</v>
      </c>
      <c r="BC18" s="67">
        <v>1117.4230315618599</v>
      </c>
      <c r="BD18" s="67">
        <v>751.14275972771998</v>
      </c>
      <c r="BE18" s="68">
        <v>3406.02306501373</v>
      </c>
      <c r="BF18" s="66">
        <v>1715.70029779128</v>
      </c>
      <c r="BG18" s="67">
        <v>856.51833124486598</v>
      </c>
      <c r="BH18" s="67">
        <v>879.83354511473703</v>
      </c>
      <c r="BI18" s="67">
        <v>1231.1661667015301</v>
      </c>
      <c r="BJ18" s="68">
        <v>4683.2183408524097</v>
      </c>
      <c r="BK18" s="66">
        <v>722.34175110394494</v>
      </c>
      <c r="BL18" s="67">
        <v>1144.6744630074199</v>
      </c>
      <c r="BM18" s="67">
        <v>1075.51944253389</v>
      </c>
      <c r="BN18" s="67">
        <v>1849.0403629407699</v>
      </c>
      <c r="BO18" s="68">
        <v>4791.5760195860203</v>
      </c>
      <c r="BP18" s="66">
        <v>459.57548814401201</v>
      </c>
      <c r="BQ18" s="67">
        <v>957.70014715159596</v>
      </c>
      <c r="BR18" s="67">
        <v>1526.8596491738799</v>
      </c>
      <c r="BS18" s="67">
        <v>1638.6523077393099</v>
      </c>
      <c r="BT18" s="68">
        <v>4582.7875922087997</v>
      </c>
      <c r="BU18" s="66">
        <v>1009.48712423676</v>
      </c>
      <c r="BV18" s="67">
        <v>729.77043157000003</v>
      </c>
      <c r="BW18" s="67">
        <v>2207.54144110174</v>
      </c>
      <c r="BX18" s="67">
        <v>1214.2311614052801</v>
      </c>
      <c r="BY18" s="68">
        <v>5161.0301583137798</v>
      </c>
      <c r="BZ18" s="66">
        <v>1914.3287921799999</v>
      </c>
      <c r="CA18" s="67">
        <v>1179.9115295500001</v>
      </c>
      <c r="CB18" s="67">
        <v>1050.9193046944999</v>
      </c>
      <c r="CC18" s="67">
        <v>2952.8070191000002</v>
      </c>
      <c r="CD18" s="68">
        <v>7097.9666455244997</v>
      </c>
      <c r="CE18" s="66">
        <v>2067.34279169</v>
      </c>
      <c r="CF18" s="67">
        <v>1867.8478235299999</v>
      </c>
      <c r="CG18" s="67">
        <v>2136.5485385000002</v>
      </c>
      <c r="CH18" s="67">
        <v>7033.9253662514102</v>
      </c>
      <c r="CI18" s="68">
        <v>13105.6645199714</v>
      </c>
      <c r="CJ18" s="66">
        <v>2905.35340077</v>
      </c>
      <c r="CK18" s="67">
        <v>1659.7291280899999</v>
      </c>
      <c r="CL18" s="67">
        <v>732.84095823999996</v>
      </c>
      <c r="CM18" s="67">
        <v>1502.67523539068</v>
      </c>
      <c r="CN18" s="68">
        <v>6800.5987224906803</v>
      </c>
      <c r="CO18" s="66">
        <v>2075.8969665396799</v>
      </c>
      <c r="CP18" s="67">
        <v>1604.0219493658799</v>
      </c>
      <c r="CQ18" s="67">
        <v>7633.6451876578203</v>
      </c>
      <c r="CR18" s="67">
        <v>1328.1511114156001</v>
      </c>
      <c r="CS18" s="68">
        <v>12641.715214979</v>
      </c>
      <c r="CT18" s="66">
        <v>2513.5399589287999</v>
      </c>
      <c r="CU18" s="67">
        <v>1708.7531937924</v>
      </c>
      <c r="CV18" s="67">
        <v>3273.4785003259999</v>
      </c>
      <c r="CW18" s="67">
        <v>1530.24276969118</v>
      </c>
      <c r="CX18" s="68">
        <v>9026.0144227383807</v>
      </c>
      <c r="CY18" s="69">
        <v>2349.7969163785601</v>
      </c>
      <c r="CZ18" s="14" t="s">
        <v>27</v>
      </c>
    </row>
    <row r="19" spans="2:104" ht="15" customHeight="1" x14ac:dyDescent="0.25">
      <c r="B19" s="9"/>
      <c r="C19" s="54"/>
      <c r="D19" s="55"/>
      <c r="E19" s="55"/>
      <c r="F19" s="55"/>
      <c r="G19" s="56"/>
      <c r="H19" s="54"/>
      <c r="I19" s="55"/>
      <c r="J19" s="55"/>
      <c r="K19" s="55"/>
      <c r="L19" s="56"/>
      <c r="M19" s="54"/>
      <c r="N19" s="55"/>
      <c r="O19" s="55"/>
      <c r="P19" s="55"/>
      <c r="Q19" s="56"/>
      <c r="R19" s="54"/>
      <c r="S19" s="55"/>
      <c r="T19" s="55"/>
      <c r="U19" s="55"/>
      <c r="V19" s="56"/>
      <c r="W19" s="54"/>
      <c r="X19" s="55"/>
      <c r="Y19" s="55"/>
      <c r="Z19" s="55"/>
      <c r="AA19" s="56"/>
      <c r="AB19" s="54"/>
      <c r="AC19" s="55"/>
      <c r="AD19" s="55"/>
      <c r="AE19" s="55"/>
      <c r="AF19" s="56"/>
      <c r="AG19" s="54"/>
      <c r="AH19" s="55"/>
      <c r="AI19" s="55"/>
      <c r="AJ19" s="55"/>
      <c r="AK19" s="56"/>
      <c r="AL19" s="54"/>
      <c r="AM19" s="55"/>
      <c r="AN19" s="55"/>
      <c r="AO19" s="55"/>
      <c r="AP19" s="56"/>
      <c r="AQ19" s="54"/>
      <c r="AR19" s="55"/>
      <c r="AS19" s="55"/>
      <c r="AT19" s="55"/>
      <c r="AU19" s="56"/>
      <c r="AV19" s="54"/>
      <c r="AW19" s="55"/>
      <c r="AX19" s="55"/>
      <c r="AY19" s="55"/>
      <c r="AZ19" s="56"/>
      <c r="BA19" s="54"/>
      <c r="BB19" s="55"/>
      <c r="BC19" s="55"/>
      <c r="BD19" s="55"/>
      <c r="BE19" s="56"/>
      <c r="BF19" s="54"/>
      <c r="BG19" s="55"/>
      <c r="BH19" s="55"/>
      <c r="BI19" s="55"/>
      <c r="BJ19" s="56"/>
      <c r="BK19" s="54"/>
      <c r="BL19" s="55"/>
      <c r="BM19" s="55"/>
      <c r="BN19" s="55"/>
      <c r="BO19" s="56"/>
      <c r="BP19" s="54"/>
      <c r="BQ19" s="55"/>
      <c r="BR19" s="55"/>
      <c r="BS19" s="55"/>
      <c r="BT19" s="56"/>
      <c r="BU19" s="54"/>
      <c r="BV19" s="55"/>
      <c r="BW19" s="55"/>
      <c r="BX19" s="55"/>
      <c r="BY19" s="56"/>
      <c r="BZ19" s="54"/>
      <c r="CA19" s="55"/>
      <c r="CB19" s="55"/>
      <c r="CC19" s="55"/>
      <c r="CD19" s="56"/>
      <c r="CE19" s="54"/>
      <c r="CF19" s="55"/>
      <c r="CG19" s="55"/>
      <c r="CH19" s="55"/>
      <c r="CI19" s="56"/>
      <c r="CJ19" s="54"/>
      <c r="CK19" s="55"/>
      <c r="CL19" s="55"/>
      <c r="CM19" s="55"/>
      <c r="CN19" s="56"/>
      <c r="CO19" s="54"/>
      <c r="CP19" s="55"/>
      <c r="CQ19" s="55"/>
      <c r="CR19" s="55"/>
      <c r="CS19" s="56"/>
      <c r="CT19" s="54"/>
      <c r="CU19" s="55"/>
      <c r="CV19" s="55"/>
      <c r="CW19" s="55"/>
      <c r="CX19" s="56"/>
      <c r="CY19" s="57"/>
      <c r="CZ19" s="9"/>
    </row>
    <row r="20" spans="2:104" ht="15" customHeight="1" x14ac:dyDescent="0.25">
      <c r="B20" s="8" t="s">
        <v>28</v>
      </c>
      <c r="C20" s="54">
        <v>336.9238784268</v>
      </c>
      <c r="D20" s="55">
        <v>230.73473849180101</v>
      </c>
      <c r="E20" s="55">
        <v>434.8256260375</v>
      </c>
      <c r="F20" s="55">
        <v>305.33091322749999</v>
      </c>
      <c r="G20" s="56">
        <v>1307.8151561836</v>
      </c>
      <c r="H20" s="54">
        <v>194.52058102410501</v>
      </c>
      <c r="I20" s="55">
        <v>383.88106965880002</v>
      </c>
      <c r="J20" s="55">
        <v>355.9200878332</v>
      </c>
      <c r="K20" s="55">
        <v>82.504580109200504</v>
      </c>
      <c r="L20" s="56">
        <v>1016.82631862531</v>
      </c>
      <c r="M20" s="54">
        <v>125.758007425044</v>
      </c>
      <c r="N20" s="55">
        <v>28.826071980071099</v>
      </c>
      <c r="O20" s="55">
        <v>270.27701358901299</v>
      </c>
      <c r="P20" s="55">
        <v>112.4034610301</v>
      </c>
      <c r="Q20" s="56">
        <v>537.264554024228</v>
      </c>
      <c r="R20" s="54">
        <v>566.36533971992799</v>
      </c>
      <c r="S20" s="55">
        <v>34.831410618765901</v>
      </c>
      <c r="T20" s="55">
        <v>316.58416249552999</v>
      </c>
      <c r="U20" s="55">
        <v>287.40348123045601</v>
      </c>
      <c r="V20" s="56">
        <v>1205.18439406468</v>
      </c>
      <c r="W20" s="54">
        <v>23.520271026414001</v>
      </c>
      <c r="X20" s="55">
        <v>-156.788989384914</v>
      </c>
      <c r="Y20" s="55">
        <v>482.364701866865</v>
      </c>
      <c r="Z20" s="55">
        <v>-151.24846376605601</v>
      </c>
      <c r="AA20" s="56">
        <v>197.847519742309</v>
      </c>
      <c r="AB20" s="54">
        <v>215.64110959327999</v>
      </c>
      <c r="AC20" s="55">
        <v>165.54393943617899</v>
      </c>
      <c r="AD20" s="55">
        <v>286.085668937778</v>
      </c>
      <c r="AE20" s="55">
        <v>-155.50564663937999</v>
      </c>
      <c r="AF20" s="56">
        <v>511.76507132785702</v>
      </c>
      <c r="AG20" s="54">
        <v>268.222124552038</v>
      </c>
      <c r="AH20" s="55">
        <v>1016.02236638</v>
      </c>
      <c r="AI20" s="55">
        <v>38.551166530000501</v>
      </c>
      <c r="AJ20" s="55">
        <v>55.089310509996501</v>
      </c>
      <c r="AK20" s="56">
        <v>1377.8849679720399</v>
      </c>
      <c r="AL20" s="54">
        <v>-224.76002539999999</v>
      </c>
      <c r="AM20" s="55">
        <v>1111.96104670368</v>
      </c>
      <c r="AN20" s="55">
        <v>210.094960993005</v>
      </c>
      <c r="AO20" s="55">
        <v>673.60240088841101</v>
      </c>
      <c r="AP20" s="56">
        <v>1770.8983831851001</v>
      </c>
      <c r="AQ20" s="54">
        <v>138.028430014999</v>
      </c>
      <c r="AR20" s="55">
        <v>-605.10096954466303</v>
      </c>
      <c r="AS20" s="55">
        <v>832.85260525897104</v>
      </c>
      <c r="AT20" s="55">
        <v>86.221413019256005</v>
      </c>
      <c r="AU20" s="56">
        <v>452.00147874856401</v>
      </c>
      <c r="AV20" s="54">
        <v>1318.2571619514099</v>
      </c>
      <c r="AW20" s="55">
        <v>-124.28169359544199</v>
      </c>
      <c r="AX20" s="55">
        <v>273.38588539638602</v>
      </c>
      <c r="AY20" s="55">
        <v>-145.59312365691699</v>
      </c>
      <c r="AZ20" s="56">
        <v>1321.76823009544</v>
      </c>
      <c r="BA20" s="54">
        <v>674.12736972702805</v>
      </c>
      <c r="BB20" s="55">
        <v>-284.43070485735598</v>
      </c>
      <c r="BC20" s="55">
        <v>-423.41950726701998</v>
      </c>
      <c r="BD20" s="55">
        <v>-84.031983429250005</v>
      </c>
      <c r="BE20" s="56">
        <v>-117.75482582659799</v>
      </c>
      <c r="BF20" s="54">
        <v>-73.146296563133205</v>
      </c>
      <c r="BG20" s="55">
        <v>-517.97105722713002</v>
      </c>
      <c r="BH20" s="55">
        <v>886.26460776165402</v>
      </c>
      <c r="BI20" s="55">
        <v>404.04664056196202</v>
      </c>
      <c r="BJ20" s="56">
        <v>699.19389453335305</v>
      </c>
      <c r="BK20" s="54">
        <v>229.340074230883</v>
      </c>
      <c r="BL20" s="55">
        <v>-1027.0014646284001</v>
      </c>
      <c r="BM20" s="55">
        <v>-69.539404639400004</v>
      </c>
      <c r="BN20" s="55">
        <v>429.83929293766499</v>
      </c>
      <c r="BO20" s="56">
        <v>-437.36150209925501</v>
      </c>
      <c r="BP20" s="54">
        <v>689.31778144683994</v>
      </c>
      <c r="BQ20" s="55">
        <v>-275.86984559630002</v>
      </c>
      <c r="BR20" s="55">
        <v>1108.65567566049</v>
      </c>
      <c r="BS20" s="55">
        <v>-868.49523182160499</v>
      </c>
      <c r="BT20" s="56">
        <v>653.60837968942099</v>
      </c>
      <c r="BU20" s="54">
        <v>-1455.92660844787</v>
      </c>
      <c r="BV20" s="55">
        <v>-1411.99725395527</v>
      </c>
      <c r="BW20" s="55">
        <v>1183.9413638000899</v>
      </c>
      <c r="BX20" s="55">
        <v>-1072.9476099431899</v>
      </c>
      <c r="BY20" s="56">
        <v>-2756.9301085462298</v>
      </c>
      <c r="BZ20" s="54">
        <v>2249.8442026545099</v>
      </c>
      <c r="CA20" s="55">
        <v>365.01624454735901</v>
      </c>
      <c r="CB20" s="55">
        <v>-727.03292168416306</v>
      </c>
      <c r="CC20" s="55">
        <v>-527.45214089561705</v>
      </c>
      <c r="CD20" s="56">
        <v>1360.37538462209</v>
      </c>
      <c r="CE20" s="54">
        <v>115.89175236983</v>
      </c>
      <c r="CF20" s="55">
        <v>-3507.3212698780999</v>
      </c>
      <c r="CG20" s="55">
        <v>523.32255431265901</v>
      </c>
      <c r="CH20" s="55">
        <v>973.37461439518097</v>
      </c>
      <c r="CI20" s="56">
        <v>-1894.7323488004299</v>
      </c>
      <c r="CJ20" s="54">
        <v>-167.95218781974299</v>
      </c>
      <c r="CK20" s="55">
        <v>523.61931547180905</v>
      </c>
      <c r="CL20" s="55">
        <v>-434.928326768278</v>
      </c>
      <c r="CM20" s="55">
        <v>294.35317219480999</v>
      </c>
      <c r="CN20" s="56">
        <v>215.09197307859901</v>
      </c>
      <c r="CO20" s="54">
        <v>745.97526571373805</v>
      </c>
      <c r="CP20" s="55">
        <v>-2044.3896603303899</v>
      </c>
      <c r="CQ20" s="55">
        <v>3848.8272354058299</v>
      </c>
      <c r="CR20" s="55">
        <v>147.679936985506</v>
      </c>
      <c r="CS20" s="56">
        <v>2698.0927777746801</v>
      </c>
      <c r="CT20" s="54">
        <v>851.42847794916099</v>
      </c>
      <c r="CU20" s="55">
        <v>728.69347411024</v>
      </c>
      <c r="CV20" s="55">
        <v>839.42254579609198</v>
      </c>
      <c r="CW20" s="55">
        <v>1545.7974332716899</v>
      </c>
      <c r="CX20" s="56">
        <v>3965.34193112718</v>
      </c>
      <c r="CY20" s="57">
        <v>1641.6730896000499</v>
      </c>
      <c r="CZ20" s="9" t="s">
        <v>29</v>
      </c>
    </row>
    <row r="21" spans="2:104" ht="15" customHeight="1" x14ac:dyDescent="0.25">
      <c r="B21" s="17"/>
      <c r="C21" s="54"/>
      <c r="D21" s="55"/>
      <c r="E21" s="55"/>
      <c r="F21" s="55"/>
      <c r="G21" s="56"/>
      <c r="H21" s="54"/>
      <c r="I21" s="55"/>
      <c r="J21" s="55"/>
      <c r="K21" s="55"/>
      <c r="L21" s="56"/>
      <c r="M21" s="54"/>
      <c r="N21" s="55"/>
      <c r="O21" s="55"/>
      <c r="P21" s="55"/>
      <c r="Q21" s="56"/>
      <c r="R21" s="54"/>
      <c r="S21" s="55"/>
      <c r="T21" s="55"/>
      <c r="U21" s="55"/>
      <c r="V21" s="56"/>
      <c r="W21" s="54"/>
      <c r="X21" s="55"/>
      <c r="Y21" s="55"/>
      <c r="Z21" s="55"/>
      <c r="AA21" s="56"/>
      <c r="AB21" s="54"/>
      <c r="AC21" s="55"/>
      <c r="AD21" s="55"/>
      <c r="AE21" s="55"/>
      <c r="AF21" s="56"/>
      <c r="AG21" s="54"/>
      <c r="AH21" s="55"/>
      <c r="AI21" s="55"/>
      <c r="AJ21" s="55"/>
      <c r="AK21" s="56"/>
      <c r="AL21" s="54"/>
      <c r="AM21" s="55"/>
      <c r="AN21" s="55"/>
      <c r="AO21" s="55"/>
      <c r="AP21" s="56"/>
      <c r="AQ21" s="54"/>
      <c r="AR21" s="55"/>
      <c r="AS21" s="55"/>
      <c r="AT21" s="55"/>
      <c r="AU21" s="56"/>
      <c r="AV21" s="54"/>
      <c r="AW21" s="55"/>
      <c r="AX21" s="55"/>
      <c r="AY21" s="55"/>
      <c r="AZ21" s="56"/>
      <c r="BA21" s="54"/>
      <c r="BB21" s="55"/>
      <c r="BC21" s="55"/>
      <c r="BD21" s="55"/>
      <c r="BE21" s="56"/>
      <c r="BF21" s="54"/>
      <c r="BG21" s="55"/>
      <c r="BH21" s="55"/>
      <c r="BI21" s="55"/>
      <c r="BJ21" s="56"/>
      <c r="BK21" s="54"/>
      <c r="BL21" s="55"/>
      <c r="BM21" s="55"/>
      <c r="BN21" s="55"/>
      <c r="BO21" s="56"/>
      <c r="BP21" s="54"/>
      <c r="BQ21" s="55"/>
      <c r="BR21" s="55"/>
      <c r="BS21" s="55"/>
      <c r="BT21" s="56"/>
      <c r="BU21" s="54"/>
      <c r="BV21" s="55"/>
      <c r="BW21" s="55"/>
      <c r="BX21" s="55"/>
      <c r="BY21" s="56"/>
      <c r="BZ21" s="54"/>
      <c r="CA21" s="55"/>
      <c r="CB21" s="55"/>
      <c r="CC21" s="55"/>
      <c r="CD21" s="56"/>
      <c r="CE21" s="54"/>
      <c r="CF21" s="55"/>
      <c r="CG21" s="55"/>
      <c r="CH21" s="55"/>
      <c r="CI21" s="56"/>
      <c r="CJ21" s="54"/>
      <c r="CK21" s="55"/>
      <c r="CL21" s="55"/>
      <c r="CM21" s="55"/>
      <c r="CN21" s="56"/>
      <c r="CO21" s="54"/>
      <c r="CP21" s="55"/>
      <c r="CQ21" s="55"/>
      <c r="CR21" s="55"/>
      <c r="CS21" s="56"/>
      <c r="CT21" s="54"/>
      <c r="CU21" s="55"/>
      <c r="CV21" s="55"/>
      <c r="CW21" s="55"/>
      <c r="CX21" s="56"/>
      <c r="CY21" s="57"/>
      <c r="CZ21" s="17"/>
    </row>
    <row r="22" spans="2:104" ht="15" customHeight="1" x14ac:dyDescent="0.25">
      <c r="B22" s="8" t="s">
        <v>30</v>
      </c>
      <c r="C22" s="54">
        <v>4700.88674140276</v>
      </c>
      <c r="D22" s="55">
        <v>5873.4178789181697</v>
      </c>
      <c r="E22" s="55">
        <v>2752.6414311200701</v>
      </c>
      <c r="F22" s="55">
        <v>-606.17613829050401</v>
      </c>
      <c r="G22" s="56">
        <v>12720.7699131505</v>
      </c>
      <c r="H22" s="54">
        <v>5448.7803505173597</v>
      </c>
      <c r="I22" s="55">
        <v>8241.6354354103096</v>
      </c>
      <c r="J22" s="55">
        <v>3526.0560206833802</v>
      </c>
      <c r="K22" s="55">
        <v>-1410.9883934596101</v>
      </c>
      <c r="L22" s="56">
        <v>15805.4834131515</v>
      </c>
      <c r="M22" s="54">
        <v>5452.3780345238201</v>
      </c>
      <c r="N22" s="55">
        <v>6433.7730839038704</v>
      </c>
      <c r="O22" s="55">
        <v>3423.0456997409501</v>
      </c>
      <c r="P22" s="55">
        <v>-493.55421689198801</v>
      </c>
      <c r="Q22" s="56">
        <v>14815.642601276701</v>
      </c>
      <c r="R22" s="54">
        <v>5246.2811943836005</v>
      </c>
      <c r="S22" s="55">
        <v>3042.2396005370201</v>
      </c>
      <c r="T22" s="55">
        <v>-1367.5435290437199</v>
      </c>
      <c r="U22" s="55">
        <v>-6649.4492137499701</v>
      </c>
      <c r="V22" s="56">
        <v>271.52805212692101</v>
      </c>
      <c r="W22" s="54">
        <v>4690.2386676428096</v>
      </c>
      <c r="X22" s="55">
        <v>3526.8899209402798</v>
      </c>
      <c r="Y22" s="55">
        <v>589.92620049305503</v>
      </c>
      <c r="Z22" s="55">
        <v>-4462.7435039872998</v>
      </c>
      <c r="AA22" s="56">
        <v>4344.3112850888401</v>
      </c>
      <c r="AB22" s="54">
        <v>8716.2410052134001</v>
      </c>
      <c r="AC22" s="55">
        <v>7946.3602037905903</v>
      </c>
      <c r="AD22" s="55">
        <v>3461.01382769572</v>
      </c>
      <c r="AE22" s="55">
        <v>-4802.7296096250802</v>
      </c>
      <c r="AF22" s="56">
        <v>15320.8854270746</v>
      </c>
      <c r="AG22" s="54">
        <v>10673.973936279701</v>
      </c>
      <c r="AH22" s="55">
        <v>10232.159717226201</v>
      </c>
      <c r="AI22" s="55">
        <v>3220.16730520791</v>
      </c>
      <c r="AJ22" s="55">
        <v>-6985.6472686064499</v>
      </c>
      <c r="AK22" s="56">
        <v>17140.6536901074</v>
      </c>
      <c r="AL22" s="54">
        <v>9939.5480472339204</v>
      </c>
      <c r="AM22" s="55">
        <v>6835.9938583384301</v>
      </c>
      <c r="AN22" s="55">
        <v>1817.5086899112</v>
      </c>
      <c r="AO22" s="55">
        <v>-7649.36394937158</v>
      </c>
      <c r="AP22" s="56">
        <v>10943.686646112001</v>
      </c>
      <c r="AQ22" s="54">
        <v>10239.458544409799</v>
      </c>
      <c r="AR22" s="55">
        <v>5239.2798151993402</v>
      </c>
      <c r="AS22" s="55">
        <v>-630.47008809212196</v>
      </c>
      <c r="AT22" s="55">
        <v>-10091.1846127973</v>
      </c>
      <c r="AU22" s="56">
        <v>4757.08365871971</v>
      </c>
      <c r="AV22" s="54">
        <v>9483.9529361995901</v>
      </c>
      <c r="AW22" s="55">
        <v>2111.8362065863398</v>
      </c>
      <c r="AX22" s="55">
        <v>-2795.7022068608699</v>
      </c>
      <c r="AY22" s="55">
        <v>-14278.1558879248</v>
      </c>
      <c r="AZ22" s="56">
        <v>-5478.0689519997704</v>
      </c>
      <c r="BA22" s="54">
        <v>4981.2852411825997</v>
      </c>
      <c r="BB22" s="55">
        <v>676.69179851020203</v>
      </c>
      <c r="BC22" s="55">
        <v>-4470.8092697591901</v>
      </c>
      <c r="BD22" s="55">
        <v>-9563.8209106816594</v>
      </c>
      <c r="BE22" s="56">
        <v>-8376.6531407480506</v>
      </c>
      <c r="BF22" s="54">
        <v>4964.0535849293701</v>
      </c>
      <c r="BG22" s="55">
        <v>-1498.39989896559</v>
      </c>
      <c r="BH22" s="55">
        <v>-4789.6806226630297</v>
      </c>
      <c r="BI22" s="55">
        <v>-11421.171535142799</v>
      </c>
      <c r="BJ22" s="56">
        <v>-12745.198471842101</v>
      </c>
      <c r="BK22" s="54">
        <v>6092.6732312309196</v>
      </c>
      <c r="BL22" s="55">
        <v>3808.4923756957201</v>
      </c>
      <c r="BM22" s="55">
        <v>-3960.9889346361601</v>
      </c>
      <c r="BN22" s="55">
        <v>-13025.1884856038</v>
      </c>
      <c r="BO22" s="56">
        <v>-7085.0118133133201</v>
      </c>
      <c r="BP22" s="54">
        <v>10151.944118383301</v>
      </c>
      <c r="BQ22" s="55">
        <v>4827.1926083532799</v>
      </c>
      <c r="BR22" s="55">
        <v>-3349.2408976689699</v>
      </c>
      <c r="BS22" s="55">
        <v>-13522.789964059601</v>
      </c>
      <c r="BT22" s="56">
        <v>-1892.8941349919501</v>
      </c>
      <c r="BU22" s="54">
        <v>2454.8917974945298</v>
      </c>
      <c r="BV22" s="55">
        <v>-9033.6795764824601</v>
      </c>
      <c r="BW22" s="55">
        <v>-12248.8578575093</v>
      </c>
      <c r="BX22" s="55">
        <v>-33596.323316638503</v>
      </c>
      <c r="BY22" s="56">
        <v>-52423.9689531357</v>
      </c>
      <c r="BZ22" s="54">
        <v>4608.4058212001801</v>
      </c>
      <c r="CA22" s="55">
        <v>2384.2759558297398</v>
      </c>
      <c r="CB22" s="55">
        <v>-814.24597020599003</v>
      </c>
      <c r="CC22" s="55">
        <v>-15143.836261901601</v>
      </c>
      <c r="CD22" s="56">
        <v>-8965.4004550776408</v>
      </c>
      <c r="CE22" s="54">
        <v>13498.780538360499</v>
      </c>
      <c r="CF22" s="55">
        <v>7419.9217680722804</v>
      </c>
      <c r="CG22" s="55">
        <v>-2346.00973787571</v>
      </c>
      <c r="CH22" s="55">
        <v>-19854.233501433999</v>
      </c>
      <c r="CI22" s="56">
        <v>-1281.5409328769399</v>
      </c>
      <c r="CJ22" s="54">
        <v>10310.053439794099</v>
      </c>
      <c r="CK22" s="55">
        <v>3583.6286275566699</v>
      </c>
      <c r="CL22" s="55">
        <v>-5918.64268447621</v>
      </c>
      <c r="CM22" s="55">
        <v>-19272.405785631501</v>
      </c>
      <c r="CN22" s="56">
        <v>-11297.366402756899</v>
      </c>
      <c r="CO22" s="54">
        <v>4497.1110396546701</v>
      </c>
      <c r="CP22" s="55">
        <v>-2503.7843465357901</v>
      </c>
      <c r="CQ22" s="55">
        <v>-7265.8744892424502</v>
      </c>
      <c r="CR22" s="55">
        <v>-14457.264084147901</v>
      </c>
      <c r="CS22" s="56">
        <v>-19729.8118802715</v>
      </c>
      <c r="CT22" s="54">
        <v>5976.0041035076702</v>
      </c>
      <c r="CU22" s="55">
        <v>5168.0566964992504</v>
      </c>
      <c r="CV22" s="55">
        <v>-5942.9088812873897</v>
      </c>
      <c r="CW22" s="55">
        <v>-12397.445011220199</v>
      </c>
      <c r="CX22" s="56">
        <v>-7196.2930925006904</v>
      </c>
      <c r="CY22" s="57">
        <v>6677.3950925393001</v>
      </c>
      <c r="CZ22" s="9" t="s">
        <v>31</v>
      </c>
    </row>
    <row r="23" spans="2:104" ht="15" customHeight="1" x14ac:dyDescent="0.25">
      <c r="B23" s="18"/>
      <c r="C23" s="54"/>
      <c r="D23" s="55"/>
      <c r="E23" s="55"/>
      <c r="F23" s="55"/>
      <c r="G23" s="56"/>
      <c r="H23" s="54"/>
      <c r="I23" s="55"/>
      <c r="J23" s="55"/>
      <c r="K23" s="55"/>
      <c r="L23" s="56"/>
      <c r="M23" s="54"/>
      <c r="N23" s="55"/>
      <c r="O23" s="55"/>
      <c r="P23" s="55"/>
      <c r="Q23" s="56"/>
      <c r="R23" s="54"/>
      <c r="S23" s="55"/>
      <c r="T23" s="55"/>
      <c r="U23" s="55"/>
      <c r="V23" s="56"/>
      <c r="W23" s="54"/>
      <c r="X23" s="55"/>
      <c r="Y23" s="55"/>
      <c r="Z23" s="55"/>
      <c r="AA23" s="56"/>
      <c r="AB23" s="54"/>
      <c r="AC23" s="55"/>
      <c r="AD23" s="55"/>
      <c r="AE23" s="55"/>
      <c r="AF23" s="56"/>
      <c r="AG23" s="54"/>
      <c r="AH23" s="55"/>
      <c r="AI23" s="55"/>
      <c r="AJ23" s="55"/>
      <c r="AK23" s="56"/>
      <c r="AL23" s="54"/>
      <c r="AM23" s="55"/>
      <c r="AN23" s="55"/>
      <c r="AO23" s="55"/>
      <c r="AP23" s="56"/>
      <c r="AQ23" s="54"/>
      <c r="AR23" s="55"/>
      <c r="AS23" s="55"/>
      <c r="AT23" s="55"/>
      <c r="AU23" s="56"/>
      <c r="AV23" s="54"/>
      <c r="AW23" s="55"/>
      <c r="AX23" s="55"/>
      <c r="AY23" s="55"/>
      <c r="AZ23" s="56"/>
      <c r="BA23" s="54"/>
      <c r="BB23" s="55"/>
      <c r="BC23" s="55"/>
      <c r="BD23" s="55"/>
      <c r="BE23" s="56"/>
      <c r="BF23" s="54"/>
      <c r="BG23" s="55"/>
      <c r="BH23" s="55"/>
      <c r="BI23" s="55"/>
      <c r="BJ23" s="56"/>
      <c r="BK23" s="54"/>
      <c r="BL23" s="55"/>
      <c r="BM23" s="55"/>
      <c r="BN23" s="55"/>
      <c r="BO23" s="56"/>
      <c r="BP23" s="54"/>
      <c r="BQ23" s="55"/>
      <c r="BR23" s="55"/>
      <c r="BS23" s="55"/>
      <c r="BT23" s="56"/>
      <c r="BU23" s="54"/>
      <c r="BV23" s="55"/>
      <c r="BW23" s="55"/>
      <c r="BX23" s="55"/>
      <c r="BY23" s="56"/>
      <c r="BZ23" s="54"/>
      <c r="CA23" s="55"/>
      <c r="CB23" s="55"/>
      <c r="CC23" s="55"/>
      <c r="CD23" s="56"/>
      <c r="CE23" s="54"/>
      <c r="CF23" s="55"/>
      <c r="CG23" s="55"/>
      <c r="CH23" s="55"/>
      <c r="CI23" s="56"/>
      <c r="CJ23" s="54"/>
      <c r="CK23" s="55"/>
      <c r="CL23" s="55"/>
      <c r="CM23" s="55"/>
      <c r="CN23" s="56"/>
      <c r="CO23" s="54"/>
      <c r="CP23" s="55"/>
      <c r="CQ23" s="55"/>
      <c r="CR23" s="55"/>
      <c r="CS23" s="56"/>
      <c r="CT23" s="54"/>
      <c r="CU23" s="55"/>
      <c r="CV23" s="55"/>
      <c r="CW23" s="55"/>
      <c r="CX23" s="56"/>
      <c r="CY23" s="57"/>
      <c r="CZ23" s="18"/>
    </row>
    <row r="24" spans="2:104" ht="15" customHeight="1" x14ac:dyDescent="0.25">
      <c r="B24" s="8" t="s">
        <v>32</v>
      </c>
      <c r="C24" s="54">
        <v>1746.6885156927201</v>
      </c>
      <c r="D24" s="55">
        <v>1044.1834513674901</v>
      </c>
      <c r="E24" s="55">
        <v>1582.8563014691099</v>
      </c>
      <c r="F24" s="55">
        <v>1285.9045334706</v>
      </c>
      <c r="G24" s="56">
        <v>5659.63280199991</v>
      </c>
      <c r="H24" s="54">
        <v>1608.4458992607099</v>
      </c>
      <c r="I24" s="55">
        <v>1288.9053798129501</v>
      </c>
      <c r="J24" s="55">
        <v>1689.1541250078999</v>
      </c>
      <c r="K24" s="55">
        <v>1420.34692867174</v>
      </c>
      <c r="L24" s="56">
        <v>6006.8523327532903</v>
      </c>
      <c r="M24" s="54">
        <v>1846.51958051274</v>
      </c>
      <c r="N24" s="55">
        <v>1082.3971132653201</v>
      </c>
      <c r="O24" s="55">
        <v>1651.57290313321</v>
      </c>
      <c r="P24" s="55">
        <v>1302.710416695</v>
      </c>
      <c r="Q24" s="56">
        <v>5883.2000136062798</v>
      </c>
      <c r="R24" s="54">
        <v>1578.7635437265201</v>
      </c>
      <c r="S24" s="55">
        <v>886.44197050805099</v>
      </c>
      <c r="T24" s="55">
        <v>1495.42441608429</v>
      </c>
      <c r="U24" s="55">
        <v>1045.10673966021</v>
      </c>
      <c r="V24" s="56">
        <v>5005.73666997907</v>
      </c>
      <c r="W24" s="54">
        <v>1685.6572775346301</v>
      </c>
      <c r="X24" s="55">
        <v>866.05227994781501</v>
      </c>
      <c r="Y24" s="55">
        <v>1606.8654142831899</v>
      </c>
      <c r="Z24" s="55">
        <v>924.53452568156195</v>
      </c>
      <c r="AA24" s="56">
        <v>5083.1094974471998</v>
      </c>
      <c r="AB24" s="54">
        <v>1826.79236797623</v>
      </c>
      <c r="AC24" s="55">
        <v>866.39847995857701</v>
      </c>
      <c r="AD24" s="55">
        <v>1834.27313785196</v>
      </c>
      <c r="AE24" s="55">
        <v>1013.66232376662</v>
      </c>
      <c r="AF24" s="56">
        <v>5541.1263095533805</v>
      </c>
      <c r="AG24" s="54">
        <v>1767.7271599184401</v>
      </c>
      <c r="AH24" s="55">
        <v>953.06377384259895</v>
      </c>
      <c r="AI24" s="55">
        <v>1828.7723375256801</v>
      </c>
      <c r="AJ24" s="55">
        <v>1018.5445922479799</v>
      </c>
      <c r="AK24" s="56">
        <v>5568.1078635347003</v>
      </c>
      <c r="AL24" s="54">
        <v>1842.6942916742701</v>
      </c>
      <c r="AM24" s="55">
        <v>1301.2548373530999</v>
      </c>
      <c r="AN24" s="55">
        <v>2013.98115818264</v>
      </c>
      <c r="AO24" s="55">
        <v>933.56543212422298</v>
      </c>
      <c r="AP24" s="56">
        <v>6091.4957193342398</v>
      </c>
      <c r="AQ24" s="54">
        <v>1965.20633736786</v>
      </c>
      <c r="AR24" s="55">
        <v>853.15498207327596</v>
      </c>
      <c r="AS24" s="55">
        <v>1977.1805026019199</v>
      </c>
      <c r="AT24" s="55">
        <v>1419.9599000025701</v>
      </c>
      <c r="AU24" s="56">
        <v>6215.5017220456202</v>
      </c>
      <c r="AV24" s="54">
        <v>2094.1126126107802</v>
      </c>
      <c r="AW24" s="55">
        <v>970.35633132767805</v>
      </c>
      <c r="AX24" s="55">
        <v>2308.8331142420302</v>
      </c>
      <c r="AY24" s="55">
        <v>1014.82240157874</v>
      </c>
      <c r="AZ24" s="56">
        <v>6388.1244597592304</v>
      </c>
      <c r="BA24" s="54">
        <v>2517.0055695267602</v>
      </c>
      <c r="BB24" s="55">
        <v>974.49742530146204</v>
      </c>
      <c r="BC24" s="55">
        <v>2684.1154743257898</v>
      </c>
      <c r="BD24" s="55">
        <v>1006.41739155688</v>
      </c>
      <c r="BE24" s="56">
        <v>7182.0358607108901</v>
      </c>
      <c r="BF24" s="54">
        <v>3147.9926176548802</v>
      </c>
      <c r="BG24" s="55">
        <v>871.03871902453898</v>
      </c>
      <c r="BH24" s="55">
        <v>3357.0994741611698</v>
      </c>
      <c r="BI24" s="55">
        <v>979.51841236162102</v>
      </c>
      <c r="BJ24" s="56">
        <v>8355.6492232022101</v>
      </c>
      <c r="BK24" s="54">
        <v>3922.1862623205402</v>
      </c>
      <c r="BL24" s="55">
        <v>1007.91961923818</v>
      </c>
      <c r="BM24" s="55">
        <v>3686.6543562509</v>
      </c>
      <c r="BN24" s="55">
        <v>1398.3638904238701</v>
      </c>
      <c r="BO24" s="56">
        <v>10015.1241282335</v>
      </c>
      <c r="BP24" s="54">
        <v>4179.8825973080802</v>
      </c>
      <c r="BQ24" s="55">
        <v>1193.31042269213</v>
      </c>
      <c r="BR24" s="55">
        <v>4104.2547410853304</v>
      </c>
      <c r="BS24" s="55">
        <v>1186.5626027865901</v>
      </c>
      <c r="BT24" s="56">
        <v>10664.010363872099</v>
      </c>
      <c r="BU24" s="54">
        <v>4559.7704044273096</v>
      </c>
      <c r="BV24" s="55">
        <v>1142.28144409486</v>
      </c>
      <c r="BW24" s="55">
        <v>4639.0643416450202</v>
      </c>
      <c r="BX24" s="55">
        <v>1171.7331531007201</v>
      </c>
      <c r="BY24" s="56">
        <v>11512.849343267901</v>
      </c>
      <c r="BZ24" s="54">
        <v>4944.1853590278097</v>
      </c>
      <c r="CA24" s="55">
        <v>1437.02582190111</v>
      </c>
      <c r="CB24" s="55">
        <v>5235.9496744355802</v>
      </c>
      <c r="CC24" s="55">
        <v>1583.0424910751799</v>
      </c>
      <c r="CD24" s="56">
        <v>13200.203346439701</v>
      </c>
      <c r="CE24" s="54">
        <v>5557.9183174992404</v>
      </c>
      <c r="CF24" s="55">
        <v>1493.8544100429001</v>
      </c>
      <c r="CG24" s="55">
        <v>5701.3565912126996</v>
      </c>
      <c r="CH24" s="55">
        <v>1933.82443469584</v>
      </c>
      <c r="CI24" s="56">
        <v>14686.9537534507</v>
      </c>
      <c r="CJ24" s="54">
        <v>6203.1000727327701</v>
      </c>
      <c r="CK24" s="55">
        <v>2541.4707730743899</v>
      </c>
      <c r="CL24" s="55">
        <v>5492.2723212496003</v>
      </c>
      <c r="CM24" s="55">
        <v>2473.8317582116701</v>
      </c>
      <c r="CN24" s="56">
        <v>16710.674925268399</v>
      </c>
      <c r="CO24" s="54">
        <v>6789.6548246293796</v>
      </c>
      <c r="CP24" s="55">
        <v>2626.67838539272</v>
      </c>
      <c r="CQ24" s="55">
        <v>6273.7042218755396</v>
      </c>
      <c r="CR24" s="55">
        <v>2842.2832650271198</v>
      </c>
      <c r="CS24" s="56">
        <v>18532.320696924799</v>
      </c>
      <c r="CT24" s="54">
        <v>7443.0503984639199</v>
      </c>
      <c r="CU24" s="55">
        <v>2705.9711178296898</v>
      </c>
      <c r="CV24" s="55">
        <v>6668.3329404570804</v>
      </c>
      <c r="CW24" s="55">
        <v>2412.66960815927</v>
      </c>
      <c r="CX24" s="56">
        <v>19230.024064910001</v>
      </c>
      <c r="CY24" s="57">
        <v>8245.5991289607009</v>
      </c>
      <c r="CZ24" s="9" t="s">
        <v>33</v>
      </c>
    </row>
    <row r="25" spans="2:104" ht="15" customHeight="1" x14ac:dyDescent="0.2">
      <c r="B25" s="19"/>
      <c r="C25" s="66"/>
      <c r="D25" s="67"/>
      <c r="E25" s="67"/>
      <c r="F25" s="67"/>
      <c r="G25" s="68"/>
      <c r="H25" s="66"/>
      <c r="I25" s="67"/>
      <c r="J25" s="67"/>
      <c r="K25" s="67"/>
      <c r="L25" s="68"/>
      <c r="M25" s="66"/>
      <c r="N25" s="67"/>
      <c r="O25" s="67"/>
      <c r="P25" s="67"/>
      <c r="Q25" s="68"/>
      <c r="R25" s="66"/>
      <c r="S25" s="67"/>
      <c r="T25" s="67"/>
      <c r="U25" s="67"/>
      <c r="V25" s="68"/>
      <c r="W25" s="66"/>
      <c r="X25" s="67"/>
      <c r="Y25" s="67"/>
      <c r="Z25" s="67"/>
      <c r="AA25" s="68"/>
      <c r="AB25" s="66"/>
      <c r="AC25" s="67"/>
      <c r="AD25" s="67"/>
      <c r="AE25" s="67"/>
      <c r="AF25" s="68"/>
      <c r="AG25" s="66"/>
      <c r="AH25" s="67"/>
      <c r="AI25" s="67"/>
      <c r="AJ25" s="67"/>
      <c r="AK25" s="68"/>
      <c r="AL25" s="66"/>
      <c r="AM25" s="67"/>
      <c r="AN25" s="67"/>
      <c r="AO25" s="67"/>
      <c r="AP25" s="68"/>
      <c r="AQ25" s="66"/>
      <c r="AR25" s="67"/>
      <c r="AS25" s="67"/>
      <c r="AT25" s="67"/>
      <c r="AU25" s="68"/>
      <c r="AV25" s="66"/>
      <c r="AW25" s="67"/>
      <c r="AX25" s="67"/>
      <c r="AY25" s="67"/>
      <c r="AZ25" s="68"/>
      <c r="BA25" s="66"/>
      <c r="BB25" s="67"/>
      <c r="BC25" s="67"/>
      <c r="BD25" s="67"/>
      <c r="BE25" s="68"/>
      <c r="BF25" s="66"/>
      <c r="BG25" s="67"/>
      <c r="BH25" s="67"/>
      <c r="BI25" s="67"/>
      <c r="BJ25" s="68"/>
      <c r="BK25" s="66"/>
      <c r="BL25" s="67"/>
      <c r="BM25" s="67"/>
      <c r="BN25" s="67"/>
      <c r="BO25" s="68"/>
      <c r="BP25" s="66"/>
      <c r="BQ25" s="67"/>
      <c r="BR25" s="67"/>
      <c r="BS25" s="67"/>
      <c r="BT25" s="68"/>
      <c r="BU25" s="66"/>
      <c r="BV25" s="67"/>
      <c r="BW25" s="67"/>
      <c r="BX25" s="67"/>
      <c r="BY25" s="68"/>
      <c r="BZ25" s="66"/>
      <c r="CA25" s="67"/>
      <c r="CB25" s="67"/>
      <c r="CC25" s="67"/>
      <c r="CD25" s="68"/>
      <c r="CE25" s="66"/>
      <c r="CF25" s="67"/>
      <c r="CG25" s="67"/>
      <c r="CH25" s="67"/>
      <c r="CI25" s="68"/>
      <c r="CJ25" s="66"/>
      <c r="CK25" s="67"/>
      <c r="CL25" s="67"/>
      <c r="CM25" s="67"/>
      <c r="CN25" s="68"/>
      <c r="CO25" s="66"/>
      <c r="CP25" s="67"/>
      <c r="CQ25" s="67"/>
      <c r="CR25" s="67"/>
      <c r="CS25" s="68"/>
      <c r="CT25" s="66"/>
      <c r="CU25" s="67"/>
      <c r="CV25" s="67"/>
      <c r="CW25" s="67"/>
      <c r="CX25" s="68"/>
      <c r="CY25" s="69"/>
      <c r="CZ25" s="19"/>
    </row>
    <row r="26" spans="2:104" ht="15" customHeight="1" x14ac:dyDescent="0.25">
      <c r="B26" s="8" t="s">
        <v>34</v>
      </c>
      <c r="C26" s="54">
        <v>2954.1982257100399</v>
      </c>
      <c r="D26" s="55">
        <v>4829.2344275506903</v>
      </c>
      <c r="E26" s="55">
        <v>1169.78512965097</v>
      </c>
      <c r="F26" s="55">
        <v>-1892.0806717611099</v>
      </c>
      <c r="G26" s="56">
        <v>7061.1371111505796</v>
      </c>
      <c r="H26" s="54">
        <v>3840.33445125666</v>
      </c>
      <c r="I26" s="55">
        <v>6952.7300555973598</v>
      </c>
      <c r="J26" s="55">
        <v>1836.9018956754801</v>
      </c>
      <c r="K26" s="55">
        <v>-2831.33532213134</v>
      </c>
      <c r="L26" s="56">
        <v>9798.6310803981596</v>
      </c>
      <c r="M26" s="54">
        <v>3605.8584540110801</v>
      </c>
      <c r="N26" s="55">
        <v>5351.3759706385399</v>
      </c>
      <c r="O26" s="55">
        <v>1771.4727966077401</v>
      </c>
      <c r="P26" s="55">
        <v>-1796.2646335869799</v>
      </c>
      <c r="Q26" s="56">
        <v>8932.4425876703899</v>
      </c>
      <c r="R26" s="54">
        <v>3667.5176506570801</v>
      </c>
      <c r="S26" s="55">
        <v>2155.7976300289702</v>
      </c>
      <c r="T26" s="55">
        <v>-2862.9679451280099</v>
      </c>
      <c r="U26" s="55">
        <v>-7694.5559534101803</v>
      </c>
      <c r="V26" s="56">
        <v>-4734.2086178521504</v>
      </c>
      <c r="W26" s="54">
        <v>3004.5813901081801</v>
      </c>
      <c r="X26" s="55">
        <v>2660.8376409924599</v>
      </c>
      <c r="Y26" s="55">
        <v>-1016.93921379014</v>
      </c>
      <c r="Z26" s="55">
        <v>-5387.2780296688697</v>
      </c>
      <c r="AA26" s="56">
        <v>-738.79821235836505</v>
      </c>
      <c r="AB26" s="54">
        <v>6889.4486372371703</v>
      </c>
      <c r="AC26" s="55">
        <v>7079.9617238320197</v>
      </c>
      <c r="AD26" s="55">
        <v>1626.74068984377</v>
      </c>
      <c r="AE26" s="55">
        <v>-5816.3919333917001</v>
      </c>
      <c r="AF26" s="56">
        <v>9779.7591175212601</v>
      </c>
      <c r="AG26" s="54">
        <v>8906.2467763612294</v>
      </c>
      <c r="AH26" s="55">
        <v>9279.0959433836506</v>
      </c>
      <c r="AI26" s="55">
        <v>1391.3949676822299</v>
      </c>
      <c r="AJ26" s="55">
        <v>-8004.1918608544202</v>
      </c>
      <c r="AK26" s="56">
        <v>11572.545826572699</v>
      </c>
      <c r="AL26" s="54">
        <v>8096.8537555596504</v>
      </c>
      <c r="AM26" s="55">
        <v>5534.7390209853302</v>
      </c>
      <c r="AN26" s="55">
        <v>-196.47246827144801</v>
      </c>
      <c r="AO26" s="55">
        <v>-8582.9293814958091</v>
      </c>
      <c r="AP26" s="56">
        <v>4852.1909267777301</v>
      </c>
      <c r="AQ26" s="54">
        <v>8274.2522070419</v>
      </c>
      <c r="AR26" s="55">
        <v>4386.1248331260704</v>
      </c>
      <c r="AS26" s="55">
        <v>-2607.6505906940401</v>
      </c>
      <c r="AT26" s="55">
        <v>-11511.144512799799</v>
      </c>
      <c r="AU26" s="56">
        <v>-1458.41806332591</v>
      </c>
      <c r="AV26" s="54">
        <v>7389.84032358881</v>
      </c>
      <c r="AW26" s="55">
        <v>1141.4798752586701</v>
      </c>
      <c r="AX26" s="55">
        <v>-5104.5353211029196</v>
      </c>
      <c r="AY26" s="55">
        <v>-15292.978289503601</v>
      </c>
      <c r="AZ26" s="56">
        <v>-11866.193411759001</v>
      </c>
      <c r="BA26" s="54">
        <v>2464.27967165584</v>
      </c>
      <c r="BB26" s="55">
        <v>-297.80562679126001</v>
      </c>
      <c r="BC26" s="55">
        <v>-7154.9247440849804</v>
      </c>
      <c r="BD26" s="55">
        <v>-10570.2383022385</v>
      </c>
      <c r="BE26" s="56">
        <v>-15558.689001458901</v>
      </c>
      <c r="BF26" s="54">
        <v>1816.0609672744999</v>
      </c>
      <c r="BG26" s="55">
        <v>-2369.4386179901298</v>
      </c>
      <c r="BH26" s="55">
        <v>-8146.7800968242</v>
      </c>
      <c r="BI26" s="55">
        <v>-12400.689947504399</v>
      </c>
      <c r="BJ26" s="56">
        <v>-21100.8476950443</v>
      </c>
      <c r="BK26" s="54">
        <v>2170.4869689103798</v>
      </c>
      <c r="BL26" s="55">
        <v>2800.57275645754</v>
      </c>
      <c r="BM26" s="55">
        <v>-7647.6432908870602</v>
      </c>
      <c r="BN26" s="55">
        <v>-14423.552376027699</v>
      </c>
      <c r="BO26" s="56">
        <v>-17100.1359415468</v>
      </c>
      <c r="BP26" s="54">
        <v>5972.0615210752203</v>
      </c>
      <c r="BQ26" s="55">
        <v>3633.8821856611498</v>
      </c>
      <c r="BR26" s="55">
        <v>-7453.4956387543098</v>
      </c>
      <c r="BS26" s="55">
        <v>-14709.352566846101</v>
      </c>
      <c r="BT26" s="56">
        <v>-12556.9044988641</v>
      </c>
      <c r="BU26" s="54">
        <v>-2104.8786069327698</v>
      </c>
      <c r="BV26" s="55">
        <v>-10175.961020577301</v>
      </c>
      <c r="BW26" s="55">
        <v>-16887.922199154302</v>
      </c>
      <c r="BX26" s="55">
        <v>-34768.056469739196</v>
      </c>
      <c r="BY26" s="56">
        <v>-63936.818296403602</v>
      </c>
      <c r="BZ26" s="54">
        <v>-335.77953782762</v>
      </c>
      <c r="CA26" s="55">
        <v>947.25013392863104</v>
      </c>
      <c r="CB26" s="55">
        <v>-6050.1956446415597</v>
      </c>
      <c r="CC26" s="55">
        <v>-16726.878752976801</v>
      </c>
      <c r="CD26" s="56">
        <v>-22165.6038015173</v>
      </c>
      <c r="CE26" s="54">
        <v>7940.8622208612196</v>
      </c>
      <c r="CF26" s="55">
        <v>5926.0673580293696</v>
      </c>
      <c r="CG26" s="55">
        <v>-8047.3663290883997</v>
      </c>
      <c r="CH26" s="55">
        <v>-21788.057936129801</v>
      </c>
      <c r="CI26" s="56">
        <v>-15968.4946863276</v>
      </c>
      <c r="CJ26" s="54">
        <v>4106.95336706137</v>
      </c>
      <c r="CK26" s="55">
        <v>1042.1578544822701</v>
      </c>
      <c r="CL26" s="55">
        <v>-11410.915005725799</v>
      </c>
      <c r="CM26" s="55">
        <v>-21746.237543843101</v>
      </c>
      <c r="CN26" s="56">
        <v>-28008.041328025301</v>
      </c>
      <c r="CO26" s="54">
        <v>-2292.54378497471</v>
      </c>
      <c r="CP26" s="55">
        <v>-5130.46273192849</v>
      </c>
      <c r="CQ26" s="55">
        <v>-13539.578711118</v>
      </c>
      <c r="CR26" s="55">
        <v>-17299.547349175002</v>
      </c>
      <c r="CS26" s="56">
        <v>-38262.1325771962</v>
      </c>
      <c r="CT26" s="54">
        <v>-1467.04629495625</v>
      </c>
      <c r="CU26" s="55">
        <v>2462.0855786695602</v>
      </c>
      <c r="CV26" s="55">
        <v>-12611.241821744499</v>
      </c>
      <c r="CW26" s="55">
        <v>-14810.114619379499</v>
      </c>
      <c r="CX26" s="56">
        <v>-26426.3171574107</v>
      </c>
      <c r="CY26" s="57">
        <v>-1568.2040364213899</v>
      </c>
      <c r="CZ26" s="9" t="s">
        <v>35</v>
      </c>
    </row>
    <row r="27" spans="2:104" ht="15" customHeight="1" x14ac:dyDescent="0.25">
      <c r="B27" s="20"/>
      <c r="C27" s="70"/>
      <c r="D27" s="71"/>
      <c r="E27" s="71"/>
      <c r="F27" s="71"/>
      <c r="G27" s="72"/>
      <c r="H27" s="70"/>
      <c r="I27" s="71"/>
      <c r="J27" s="71"/>
      <c r="K27" s="71"/>
      <c r="L27" s="72"/>
      <c r="M27" s="70"/>
      <c r="N27" s="71"/>
      <c r="O27" s="71"/>
      <c r="P27" s="71"/>
      <c r="Q27" s="72"/>
      <c r="R27" s="70"/>
      <c r="S27" s="71"/>
      <c r="T27" s="71"/>
      <c r="U27" s="71"/>
      <c r="V27" s="72"/>
      <c r="W27" s="70"/>
      <c r="X27" s="71"/>
      <c r="Y27" s="71"/>
      <c r="Z27" s="71"/>
      <c r="AA27" s="72"/>
      <c r="AB27" s="70"/>
      <c r="AC27" s="71"/>
      <c r="AD27" s="71"/>
      <c r="AE27" s="71"/>
      <c r="AF27" s="72"/>
      <c r="AG27" s="70"/>
      <c r="AH27" s="71"/>
      <c r="AI27" s="71"/>
      <c r="AJ27" s="71"/>
      <c r="AK27" s="72"/>
      <c r="AL27" s="70"/>
      <c r="AM27" s="71"/>
      <c r="AN27" s="71"/>
      <c r="AO27" s="71"/>
      <c r="AP27" s="72"/>
      <c r="AQ27" s="70"/>
      <c r="AR27" s="71"/>
      <c r="AS27" s="71"/>
      <c r="AT27" s="71"/>
      <c r="AU27" s="72"/>
      <c r="AV27" s="70"/>
      <c r="AW27" s="71"/>
      <c r="AX27" s="71"/>
      <c r="AY27" s="71"/>
      <c r="AZ27" s="72"/>
      <c r="BA27" s="70"/>
      <c r="BB27" s="71"/>
      <c r="BC27" s="71"/>
      <c r="BD27" s="71"/>
      <c r="BE27" s="72"/>
      <c r="BF27" s="70"/>
      <c r="BG27" s="71"/>
      <c r="BH27" s="71"/>
      <c r="BI27" s="71"/>
      <c r="BJ27" s="72"/>
      <c r="BK27" s="70"/>
      <c r="BL27" s="71"/>
      <c r="BM27" s="71"/>
      <c r="BN27" s="71"/>
      <c r="BO27" s="72"/>
      <c r="BP27" s="70"/>
      <c r="BQ27" s="71"/>
      <c r="BR27" s="71"/>
      <c r="BS27" s="71"/>
      <c r="BT27" s="72"/>
      <c r="BU27" s="70"/>
      <c r="BV27" s="71"/>
      <c r="BW27" s="71"/>
      <c r="BX27" s="71"/>
      <c r="BY27" s="72"/>
      <c r="BZ27" s="70"/>
      <c r="CA27" s="71"/>
      <c r="CB27" s="71"/>
      <c r="CC27" s="71"/>
      <c r="CD27" s="72"/>
      <c r="CE27" s="70"/>
      <c r="CF27" s="71"/>
      <c r="CG27" s="71"/>
      <c r="CH27" s="71"/>
      <c r="CI27" s="72"/>
      <c r="CJ27" s="70"/>
      <c r="CK27" s="71"/>
      <c r="CL27" s="71"/>
      <c r="CM27" s="71"/>
      <c r="CN27" s="72"/>
      <c r="CO27" s="70"/>
      <c r="CP27" s="71"/>
      <c r="CQ27" s="71"/>
      <c r="CR27" s="71"/>
      <c r="CS27" s="72"/>
      <c r="CT27" s="70"/>
      <c r="CU27" s="71"/>
      <c r="CV27" s="71"/>
      <c r="CW27" s="71"/>
      <c r="CX27" s="72"/>
      <c r="CY27" s="73"/>
      <c r="CZ27" s="48"/>
    </row>
    <row r="28" spans="2:104" x14ac:dyDescent="0.2">
      <c r="B28" s="21" t="s">
        <v>36</v>
      </c>
    </row>
    <row r="29" spans="2:104" x14ac:dyDescent="0.2">
      <c r="B29" s="22" t="s">
        <v>37</v>
      </c>
      <c r="C29" s="74"/>
    </row>
    <row r="30" spans="2:104" ht="4.5" customHeight="1" x14ac:dyDescent="0.2">
      <c r="B30" s="22" t="s">
        <v>38</v>
      </c>
      <c r="C30" s="74"/>
    </row>
    <row r="31" spans="2:104" x14ac:dyDescent="0.2">
      <c r="B31" s="38" t="s">
        <v>39</v>
      </c>
    </row>
    <row r="32" spans="2:104" x14ac:dyDescent="0.2">
      <c r="B32" s="38" t="s">
        <v>40</v>
      </c>
    </row>
    <row r="35" spans="2:3" ht="15" x14ac:dyDescent="0.25">
      <c r="B35" s="23"/>
      <c r="C35" s="24"/>
    </row>
    <row r="36" spans="2:3" ht="15" x14ac:dyDescent="0.25">
      <c r="B36" s="23"/>
      <c r="C36" s="25"/>
    </row>
    <row r="37" spans="2:3" ht="15" x14ac:dyDescent="0.25">
      <c r="B37" s="26"/>
      <c r="C37" s="27"/>
    </row>
    <row r="38" spans="2:3" ht="15" x14ac:dyDescent="0.25">
      <c r="B38" s="28"/>
      <c r="C38" s="75"/>
    </row>
    <row r="39" spans="2:3" x14ac:dyDescent="0.2">
      <c r="B39" s="29"/>
      <c r="C39" s="22"/>
    </row>
    <row r="40" spans="2:3" x14ac:dyDescent="0.2">
      <c r="B40" s="29"/>
      <c r="C40" s="22"/>
    </row>
    <row r="41" spans="2:3" x14ac:dyDescent="0.2">
      <c r="B41" s="30"/>
      <c r="C41" s="76"/>
    </row>
    <row r="42" spans="2:3" ht="15" x14ac:dyDescent="0.25">
      <c r="B42" s="28"/>
      <c r="C42" s="75"/>
    </row>
    <row r="43" spans="2:3" x14ac:dyDescent="0.2">
      <c r="B43" s="29"/>
      <c r="C43" s="22"/>
    </row>
    <row r="44" spans="2:3" x14ac:dyDescent="0.2">
      <c r="B44" s="29"/>
      <c r="C44" s="22"/>
    </row>
    <row r="45" spans="2:3" x14ac:dyDescent="0.2">
      <c r="B45" s="31"/>
      <c r="C45" s="77"/>
    </row>
    <row r="46" spans="2:3" x14ac:dyDescent="0.2">
      <c r="B46" s="32"/>
      <c r="C46" s="77"/>
    </row>
    <row r="47" spans="2:3" x14ac:dyDescent="0.2">
      <c r="B47" s="32"/>
      <c r="C47" s="77"/>
    </row>
    <row r="48" spans="2:3" x14ac:dyDescent="0.2">
      <c r="B48" s="32"/>
      <c r="C48" s="77"/>
    </row>
    <row r="49" spans="2:3" x14ac:dyDescent="0.2">
      <c r="B49" s="31"/>
      <c r="C49" s="77"/>
    </row>
    <row r="50" spans="2:3" ht="15" x14ac:dyDescent="0.25">
      <c r="B50" s="28"/>
      <c r="C50" s="75"/>
    </row>
    <row r="51" spans="2:3" ht="15" x14ac:dyDescent="0.25">
      <c r="B51" s="28"/>
      <c r="C51" s="75"/>
    </row>
    <row r="52" spans="2:3" ht="15" x14ac:dyDescent="0.25">
      <c r="B52" s="33"/>
      <c r="C52" s="75"/>
    </row>
    <row r="53" spans="2:3" ht="15" x14ac:dyDescent="0.25">
      <c r="B53" s="28"/>
      <c r="C53" s="75"/>
    </row>
    <row r="54" spans="2:3" ht="15" x14ac:dyDescent="0.25">
      <c r="B54" s="34"/>
      <c r="C54" s="75"/>
    </row>
    <row r="55" spans="2:3" ht="15" x14ac:dyDescent="0.25">
      <c r="B55" s="28"/>
      <c r="C55" s="75"/>
    </row>
    <row r="56" spans="2:3" x14ac:dyDescent="0.2">
      <c r="B56" s="31"/>
      <c r="C56" s="77"/>
    </row>
    <row r="57" spans="2:3" ht="15" x14ac:dyDescent="0.25">
      <c r="B57" s="28"/>
      <c r="C57" s="75"/>
    </row>
    <row r="58" spans="2:3" ht="15" x14ac:dyDescent="0.25">
      <c r="B58" s="28"/>
      <c r="C58" s="27"/>
    </row>
    <row r="63" spans="2:3" ht="15" x14ac:dyDescent="0.25">
      <c r="B63" s="23"/>
      <c r="C63" s="24"/>
    </row>
    <row r="64" spans="2:3" ht="15" x14ac:dyDescent="0.25">
      <c r="B64" s="23"/>
      <c r="C64" s="25"/>
    </row>
    <row r="65" spans="2:3" ht="15" x14ac:dyDescent="0.25">
      <c r="B65" s="26"/>
      <c r="C65" s="35"/>
    </row>
    <row r="66" spans="2:3" ht="15" x14ac:dyDescent="0.25">
      <c r="B66" s="28"/>
      <c r="C66" s="36"/>
    </row>
    <row r="67" spans="2:3" x14ac:dyDescent="0.2">
      <c r="B67" s="29"/>
      <c r="C67" s="36"/>
    </row>
    <row r="68" spans="2:3" x14ac:dyDescent="0.2">
      <c r="B68" s="29"/>
      <c r="C68" s="36"/>
    </row>
    <row r="69" spans="2:3" x14ac:dyDescent="0.2">
      <c r="B69" s="30"/>
      <c r="C69" s="36"/>
    </row>
    <row r="70" spans="2:3" ht="15" x14ac:dyDescent="0.25">
      <c r="B70" s="28"/>
      <c r="C70" s="36"/>
    </row>
    <row r="71" spans="2:3" x14ac:dyDescent="0.2">
      <c r="B71" s="29"/>
      <c r="C71" s="36"/>
    </row>
    <row r="72" spans="2:3" x14ac:dyDescent="0.2">
      <c r="B72" s="29"/>
      <c r="C72" s="36"/>
    </row>
    <row r="73" spans="2:3" x14ac:dyDescent="0.2">
      <c r="B73" s="31"/>
      <c r="C73" s="36"/>
    </row>
    <row r="74" spans="2:3" x14ac:dyDescent="0.2">
      <c r="B74" s="32"/>
      <c r="C74" s="36"/>
    </row>
    <row r="75" spans="2:3" x14ac:dyDescent="0.2">
      <c r="B75" s="32"/>
      <c r="C75" s="36"/>
    </row>
    <row r="76" spans="2:3" x14ac:dyDescent="0.2">
      <c r="B76" s="32"/>
      <c r="C76" s="36"/>
    </row>
    <row r="77" spans="2:3" x14ac:dyDescent="0.2">
      <c r="B77" s="31"/>
      <c r="C77" s="36"/>
    </row>
    <row r="78" spans="2:3" ht="15" x14ac:dyDescent="0.25">
      <c r="B78" s="28"/>
      <c r="C78" s="36"/>
    </row>
    <row r="79" spans="2:3" ht="15" x14ac:dyDescent="0.25">
      <c r="B79" s="28"/>
      <c r="C79" s="36"/>
    </row>
    <row r="80" spans="2:3" x14ac:dyDescent="0.2">
      <c r="B80" s="33"/>
      <c r="C80" s="36"/>
    </row>
    <row r="81" spans="2:3" ht="15" x14ac:dyDescent="0.25">
      <c r="B81" s="28"/>
      <c r="C81" s="36"/>
    </row>
    <row r="82" spans="2:3" x14ac:dyDescent="0.2">
      <c r="B82" s="34"/>
      <c r="C82" s="36"/>
    </row>
    <row r="83" spans="2:3" ht="15" x14ac:dyDescent="0.25">
      <c r="B83" s="28"/>
      <c r="C83" s="36"/>
    </row>
    <row r="84" spans="2:3" x14ac:dyDescent="0.2">
      <c r="B84" s="31"/>
      <c r="C84" s="36"/>
    </row>
    <row r="85" spans="2:3" ht="15" x14ac:dyDescent="0.25">
      <c r="B85" s="28"/>
      <c r="C85" s="36"/>
    </row>
    <row r="86" spans="2:3" ht="15" x14ac:dyDescent="0.25">
      <c r="B86" s="28"/>
      <c r="C86" s="35"/>
    </row>
  </sheetData>
  <mergeCells count="20">
    <mergeCell ref="BF4:BJ4"/>
    <mergeCell ref="C4:G4"/>
    <mergeCell ref="H4:L4"/>
    <mergeCell ref="M4:Q4"/>
    <mergeCell ref="R4:V4"/>
    <mergeCell ref="W4:AA4"/>
    <mergeCell ref="AB4:AF4"/>
    <mergeCell ref="AG4:AK4"/>
    <mergeCell ref="AL4:AP4"/>
    <mergeCell ref="AQ4:AU4"/>
    <mergeCell ref="AV4:AZ4"/>
    <mergeCell ref="BA4:BE4"/>
    <mergeCell ref="CO4:CS4"/>
    <mergeCell ref="CT4:CX4"/>
    <mergeCell ref="BK4:BO4"/>
    <mergeCell ref="BP4:BT4"/>
    <mergeCell ref="BU4:BY4"/>
    <mergeCell ref="BZ4:CD4"/>
    <mergeCell ref="CE4:CI4"/>
    <mergeCell ref="CJ4:CN4"/>
  </mergeCells>
  <conditionalFormatting sqref="C65:C86">
    <cfRule type="cellIs" dxfId="1" priority="1" operator="greaterThan">
      <formula>0.0000001</formula>
    </cfRule>
  </conditionalFormatting>
  <conditionalFormatting sqref="C66:C85">
    <cfRule type="cellIs" dxfId="0" priority="2" operator="lessThan">
      <formula>-0.0000001</formula>
    </cfRule>
  </conditionalFormatting>
  <hyperlinks>
    <hyperlink ref="B2" r:id="rId1" display="CUADRO 113:  OPERACIONES DEL SECTOR PÚBLICO NO FINANCIERO (Millones de soles) 1/" xr:uid="{F8F45BFF-153E-4C67-AFD5-C83D7F84C88F}"/>
    <hyperlink ref="B7" r:id="rId2" xr:uid="{E06A5517-A08D-4590-8027-F1E54E610FEF}"/>
    <hyperlink ref="B8" r:id="rId3" xr:uid="{6E35F45C-A4AA-4617-B8C6-5F7A7FB31694}"/>
    <hyperlink ref="B9" r:id="rId4" xr:uid="{44F1CA30-F6E9-4CE7-BE2B-28FD8C52588A}"/>
    <hyperlink ref="B11" r:id="rId5" xr:uid="{74ABC659-A088-4B81-97AA-09049CAFA823}"/>
    <hyperlink ref="B12" r:id="rId6" xr:uid="{413FA20C-470E-4DFC-9233-4F64140CF100}"/>
    <hyperlink ref="B13" r:id="rId7" xr:uid="{01F4EA17-A4B6-4439-980F-0E61F01901D9}"/>
    <hyperlink ref="B14" r:id="rId8" xr:uid="{D2BD772D-63EC-4B6F-9F02-FE9FB3D26786}"/>
    <hyperlink ref="B15" r:id="rId9" xr:uid="{3BE8711F-16D7-472F-ABE9-838D76D5D9BE}"/>
    <hyperlink ref="B16" r:id="rId10" xr:uid="{5EEAF6D6-2333-486C-B403-B9561A6B3913}"/>
    <hyperlink ref="B17" r:id="rId11" xr:uid="{2386A62F-A244-4E89-AF8D-8A79C17DD01D}"/>
    <hyperlink ref="B18" r:id="rId12" xr:uid="{4557B239-E1A9-4F55-8EBD-F327E485B22C}"/>
    <hyperlink ref="B20" r:id="rId13" xr:uid="{06638720-5296-4529-8774-B70704022F77}"/>
    <hyperlink ref="B22" r:id="rId14" xr:uid="{E94C1DEC-8CF5-4CCB-9F72-0594D132D3B1}"/>
    <hyperlink ref="B24" r:id="rId15" xr:uid="{230A4011-3FC4-4355-896F-CB01CAF86848}"/>
    <hyperlink ref="B26" r:id="rId16" xr:uid="{C453FE0A-BC57-4149-A2BF-BF27969088E6}"/>
    <hyperlink ref="B3" r:id="rId17" xr:uid="{04454825-FD2C-461D-B126-812970C0D556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6" orientation="landscape"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113</vt:lpstr>
      <vt:lpstr>'Cuadro 113'!Área_de_impresión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Romero Palomino, Jose  Miguel</dc:creator>
  <cp:lastModifiedBy>Asmat Ballena, Maria Gracia</cp:lastModifiedBy>
  <dcterms:created xsi:type="dcterms:W3CDTF">2026-05-21T17:38:44Z</dcterms:created>
  <dcterms:modified xsi:type="dcterms:W3CDTF">2026-05-21T18:58:02Z</dcterms:modified>
</cp:coreProperties>
</file>